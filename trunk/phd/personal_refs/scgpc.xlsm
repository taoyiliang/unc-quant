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621" codeName="{8C4F1C90-05EB-6A55-5F09-09C24B55AC0B}"/>
  <workbookPr codeName="ThisWorkbook" autoCompressPictures="0"/>
  <bookViews>
    <workbookView xWindow="460" yWindow="420" windowWidth="38400" windowHeight="22780" activeTab="5"/>
  </bookViews>
  <sheets>
    <sheet name="Start" sheetId="1" r:id="rId1"/>
    <sheet name="8TensorQuad" sheetId="2" r:id="rId2"/>
    <sheet name="SG_HC8_60" sheetId="3" r:id="rId3"/>
    <sheet name="SG_HC8_22" sheetId="4" r:id="rId4"/>
    <sheet name="SG_HC8_00" sheetId="5" r:id="rId5"/>
    <sheet name="SG_HC8_60_CC" sheetId="8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8" l="1"/>
  <c r="B40" i="8"/>
  <c r="B39" i="8"/>
  <c r="B38" i="8"/>
  <c r="B37" i="8"/>
  <c r="B36" i="8"/>
  <c r="B35" i="8"/>
  <c r="B34" i="8"/>
  <c r="A41" i="8"/>
  <c r="A40" i="8"/>
  <c r="A39" i="8"/>
  <c r="A38" i="8"/>
  <c r="A37" i="8"/>
  <c r="A36" i="8"/>
  <c r="A35" i="8"/>
  <c r="A34" i="8"/>
  <c r="B22" i="8"/>
  <c r="B21" i="8"/>
  <c r="B20" i="8"/>
  <c r="B19" i="8"/>
  <c r="A22" i="8"/>
  <c r="A21" i="8"/>
  <c r="A20" i="8"/>
  <c r="A19" i="8"/>
  <c r="B11" i="8"/>
  <c r="A11" i="8"/>
  <c r="B10" i="8"/>
  <c r="A10" i="8"/>
  <c r="K3" i="8"/>
  <c r="L3" i="8"/>
  <c r="M3" i="8"/>
  <c r="N3" i="8"/>
  <c r="K4" i="8"/>
  <c r="L4" i="8"/>
  <c r="M4" i="8"/>
  <c r="N4" i="8"/>
  <c r="K5" i="8"/>
  <c r="L5" i="8"/>
  <c r="M5" i="8"/>
  <c r="N5" i="8"/>
  <c r="K6" i="8"/>
  <c r="L6" i="8"/>
  <c r="M6" i="8"/>
  <c r="N6" i="8"/>
  <c r="K7" i="8"/>
  <c r="L7" i="8"/>
  <c r="M7" i="8"/>
  <c r="N7" i="8"/>
  <c r="K8" i="8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K15" i="8"/>
  <c r="L15" i="8"/>
  <c r="M15" i="8"/>
  <c r="N15" i="8"/>
  <c r="K16" i="8"/>
  <c r="L16" i="8"/>
  <c r="M16" i="8"/>
  <c r="N16" i="8"/>
  <c r="K17" i="8"/>
  <c r="L17" i="8"/>
  <c r="M17" i="8"/>
  <c r="N17" i="8"/>
  <c r="K18" i="8"/>
  <c r="L18" i="8"/>
  <c r="M18" i="8"/>
  <c r="N18" i="8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K29" i="8"/>
  <c r="L29" i="8"/>
  <c r="M29" i="8"/>
  <c r="N29" i="8"/>
  <c r="K30" i="8"/>
  <c r="L30" i="8"/>
  <c r="M30" i="8"/>
  <c r="N30" i="8"/>
  <c r="K31" i="8"/>
  <c r="L31" i="8"/>
  <c r="M31" i="8"/>
  <c r="N31" i="8"/>
  <c r="K32" i="8"/>
  <c r="L32" i="8"/>
  <c r="M32" i="8"/>
  <c r="N32" i="8"/>
  <c r="K33" i="8"/>
  <c r="L33" i="8"/>
  <c r="M33" i="8"/>
  <c r="N33" i="8"/>
  <c r="K34" i="8"/>
  <c r="L34" i="8"/>
  <c r="M34" i="8"/>
  <c r="N34" i="8"/>
  <c r="K35" i="8"/>
  <c r="L35" i="8"/>
  <c r="M35" i="8"/>
  <c r="N35" i="8"/>
  <c r="K36" i="8"/>
  <c r="L36" i="8"/>
  <c r="M36" i="8"/>
  <c r="N36" i="8"/>
  <c r="K37" i="8"/>
  <c r="L37" i="8"/>
  <c r="M37" i="8"/>
  <c r="N37" i="8"/>
  <c r="K38" i="8"/>
  <c r="L38" i="8"/>
  <c r="M38" i="8"/>
  <c r="N38" i="8"/>
  <c r="K39" i="8"/>
  <c r="L39" i="8"/>
  <c r="M39" i="8"/>
  <c r="N39" i="8"/>
  <c r="K40" i="8"/>
  <c r="L40" i="8"/>
  <c r="M40" i="8"/>
  <c r="N40" i="8"/>
  <c r="K41" i="8"/>
  <c r="L41" i="8"/>
  <c r="M41" i="8"/>
  <c r="N41" i="8"/>
  <c r="K42" i="8"/>
  <c r="L42" i="8"/>
  <c r="M42" i="8"/>
  <c r="N42" i="8"/>
  <c r="K43" i="8"/>
  <c r="L43" i="8"/>
  <c r="M43" i="8"/>
  <c r="N43" i="8"/>
  <c r="K44" i="8"/>
  <c r="L44" i="8"/>
  <c r="M44" i="8"/>
  <c r="N44" i="8"/>
  <c r="K45" i="8"/>
  <c r="L45" i="8"/>
  <c r="M45" i="8"/>
  <c r="N45" i="8"/>
  <c r="K46" i="8"/>
  <c r="L46" i="8"/>
  <c r="M46" i="8"/>
  <c r="N46" i="8"/>
  <c r="K47" i="8"/>
  <c r="L47" i="8"/>
  <c r="M47" i="8"/>
  <c r="N47" i="8"/>
  <c r="K48" i="8"/>
  <c r="L48" i="8"/>
  <c r="M48" i="8"/>
  <c r="N48" i="8"/>
  <c r="K49" i="8"/>
  <c r="L49" i="8"/>
  <c r="M49" i="8"/>
  <c r="N49" i="8"/>
  <c r="K50" i="8"/>
  <c r="L50" i="8"/>
  <c r="M50" i="8"/>
  <c r="N50" i="8"/>
  <c r="K51" i="8"/>
  <c r="L51" i="8"/>
  <c r="M51" i="8"/>
  <c r="N51" i="8"/>
  <c r="K52" i="8"/>
  <c r="L52" i="8"/>
  <c r="M52" i="8"/>
  <c r="N52" i="8"/>
  <c r="K53" i="8"/>
  <c r="L53" i="8"/>
  <c r="M53" i="8"/>
  <c r="N53" i="8"/>
  <c r="K54" i="8"/>
  <c r="L54" i="8"/>
  <c r="M54" i="8"/>
  <c r="N54" i="8"/>
  <c r="K55" i="8"/>
  <c r="L55" i="8"/>
  <c r="M55" i="8"/>
  <c r="N55" i="8"/>
  <c r="K56" i="8"/>
  <c r="L56" i="8"/>
  <c r="M56" i="8"/>
  <c r="N56" i="8"/>
  <c r="K57" i="8"/>
  <c r="L57" i="8"/>
  <c r="M57" i="8"/>
  <c r="N57" i="8"/>
  <c r="K58" i="8"/>
  <c r="L58" i="8"/>
  <c r="M58" i="8"/>
  <c r="N58" i="8"/>
  <c r="K59" i="8"/>
  <c r="L59" i="8"/>
  <c r="M59" i="8"/>
  <c r="N59" i="8"/>
  <c r="K60" i="8"/>
  <c r="L60" i="8"/>
  <c r="M60" i="8"/>
  <c r="N60" i="8"/>
  <c r="K61" i="8"/>
  <c r="L61" i="8"/>
  <c r="M61" i="8"/>
  <c r="N61" i="8"/>
  <c r="K62" i="8"/>
  <c r="L62" i="8"/>
  <c r="M62" i="8"/>
  <c r="N62" i="8"/>
  <c r="K63" i="8"/>
  <c r="L63" i="8"/>
  <c r="M63" i="8"/>
  <c r="N63" i="8"/>
  <c r="K64" i="8"/>
  <c r="L64" i="8"/>
  <c r="M64" i="8"/>
  <c r="N64" i="8"/>
  <c r="K65" i="8"/>
  <c r="L65" i="8"/>
  <c r="M65" i="8"/>
  <c r="N65" i="8"/>
  <c r="N66" i="8"/>
  <c r="O2" i="8"/>
  <c r="K65" i="5"/>
  <c r="K64" i="5"/>
  <c r="I64" i="5"/>
  <c r="H64" i="5"/>
  <c r="K63" i="5"/>
  <c r="I63" i="5"/>
  <c r="I65" i="5"/>
  <c r="H63" i="5"/>
  <c r="K62" i="5"/>
  <c r="K61" i="5"/>
  <c r="I61" i="5"/>
  <c r="H61" i="5"/>
  <c r="K60" i="5"/>
  <c r="I60" i="5"/>
  <c r="I62" i="5"/>
  <c r="H60" i="5"/>
  <c r="H62" i="5"/>
  <c r="K59" i="5"/>
  <c r="H57" i="5"/>
  <c r="H59" i="5"/>
  <c r="K58" i="5"/>
  <c r="I58" i="5"/>
  <c r="H58" i="5"/>
  <c r="K57" i="5"/>
  <c r="I57" i="5"/>
  <c r="I59" i="5"/>
  <c r="K56" i="5"/>
  <c r="K55" i="5"/>
  <c r="F54" i="5"/>
  <c r="K54" i="5"/>
  <c r="F53" i="5"/>
  <c r="K53" i="5"/>
  <c r="K52" i="5"/>
  <c r="K51" i="5"/>
  <c r="F50" i="5"/>
  <c r="K50" i="5"/>
  <c r="F49" i="5"/>
  <c r="K49" i="5"/>
  <c r="K48" i="5"/>
  <c r="K47" i="5"/>
  <c r="G46" i="5"/>
  <c r="K46" i="5"/>
  <c r="G45" i="5"/>
  <c r="K45" i="5"/>
  <c r="K44" i="5"/>
  <c r="K43" i="5"/>
  <c r="G42" i="5"/>
  <c r="K42" i="5"/>
  <c r="G41" i="5"/>
  <c r="K41" i="5"/>
  <c r="F40" i="5"/>
  <c r="K40" i="5"/>
  <c r="K39" i="5"/>
  <c r="H39" i="5"/>
  <c r="K38" i="5"/>
  <c r="H38" i="5"/>
  <c r="H40" i="5"/>
  <c r="F37" i="5"/>
  <c r="K37" i="5"/>
  <c r="K36" i="5"/>
  <c r="H36" i="5"/>
  <c r="K35" i="5"/>
  <c r="H35" i="5"/>
  <c r="H37" i="5"/>
  <c r="G34" i="5"/>
  <c r="K34" i="5"/>
  <c r="K33" i="5"/>
  <c r="I33" i="5"/>
  <c r="K32" i="5"/>
  <c r="I32" i="5"/>
  <c r="I34" i="5"/>
  <c r="G31" i="5"/>
  <c r="K31" i="5"/>
  <c r="K30" i="5"/>
  <c r="I30" i="5"/>
  <c r="K29" i="5"/>
  <c r="I29" i="5"/>
  <c r="I31" i="5"/>
  <c r="K28" i="5"/>
  <c r="A28" i="5"/>
  <c r="K27" i="5"/>
  <c r="A27" i="5"/>
  <c r="K26" i="5"/>
  <c r="A26" i="5"/>
  <c r="K25" i="5"/>
  <c r="A25" i="5"/>
  <c r="K24" i="5"/>
  <c r="F23" i="5"/>
  <c r="K23" i="5"/>
  <c r="F22" i="5"/>
  <c r="K22" i="5"/>
  <c r="F21" i="5"/>
  <c r="K21" i="5"/>
  <c r="F20" i="5"/>
  <c r="K20" i="5"/>
  <c r="K19" i="5"/>
  <c r="A19" i="5"/>
  <c r="K18" i="5"/>
  <c r="A18" i="5"/>
  <c r="K17" i="5"/>
  <c r="K16" i="5"/>
  <c r="K15" i="5"/>
  <c r="G14" i="5"/>
  <c r="K14" i="5"/>
  <c r="B12" i="5"/>
  <c r="B14" i="5"/>
  <c r="A14" i="5"/>
  <c r="G13" i="5"/>
  <c r="K13" i="5"/>
  <c r="B13" i="5"/>
  <c r="G12" i="5"/>
  <c r="K12" i="5"/>
  <c r="G11" i="5"/>
  <c r="K11" i="5"/>
  <c r="K10" i="5"/>
  <c r="K9" i="5"/>
  <c r="F8" i="5"/>
  <c r="K8" i="5"/>
  <c r="A8" i="5"/>
  <c r="I7" i="5"/>
  <c r="I8" i="5"/>
  <c r="F7" i="5"/>
  <c r="K7" i="5"/>
  <c r="K6" i="5"/>
  <c r="K5" i="5"/>
  <c r="H3" i="5"/>
  <c r="H4" i="5"/>
  <c r="H5" i="5"/>
  <c r="G4" i="5"/>
  <c r="K4" i="5"/>
  <c r="G3" i="5"/>
  <c r="K3" i="5"/>
  <c r="L4" i="5"/>
  <c r="L12" i="5"/>
  <c r="L20" i="5"/>
  <c r="L28" i="5"/>
  <c r="L36" i="5"/>
  <c r="L44" i="5"/>
  <c r="L52" i="5"/>
  <c r="L60" i="5"/>
  <c r="L13" i="5"/>
  <c r="L37" i="5"/>
  <c r="L53" i="5"/>
  <c r="L6" i="5"/>
  <c r="L38" i="5"/>
  <c r="L54" i="5"/>
  <c r="L5" i="5"/>
  <c r="L22" i="5"/>
  <c r="L7" i="5"/>
  <c r="L15" i="5"/>
  <c r="L23" i="5"/>
  <c r="L31" i="5"/>
  <c r="L39" i="5"/>
  <c r="L47" i="5"/>
  <c r="L55" i="5"/>
  <c r="L63" i="5"/>
  <c r="L25" i="5"/>
  <c r="L33" i="5"/>
  <c r="L49" i="5"/>
  <c r="L10" i="5"/>
  <c r="L34" i="5"/>
  <c r="L50" i="5"/>
  <c r="L8" i="5"/>
  <c r="L16" i="5"/>
  <c r="L24" i="5"/>
  <c r="L32" i="5"/>
  <c r="L40" i="5"/>
  <c r="L48" i="5"/>
  <c r="L56" i="5"/>
  <c r="L64" i="5"/>
  <c r="L17" i="5"/>
  <c r="L41" i="5"/>
  <c r="L57" i="5"/>
  <c r="L65" i="5"/>
  <c r="L18" i="5"/>
  <c r="L42" i="5"/>
  <c r="L58" i="5"/>
  <c r="L9" i="5"/>
  <c r="L26" i="5"/>
  <c r="L11" i="5"/>
  <c r="L19" i="5"/>
  <c r="L27" i="5"/>
  <c r="L35" i="5"/>
  <c r="L43" i="5"/>
  <c r="L51" i="5"/>
  <c r="L59" i="5"/>
  <c r="L21" i="5"/>
  <c r="L29" i="5"/>
  <c r="L45" i="5"/>
  <c r="L61" i="5"/>
  <c r="L14" i="5"/>
  <c r="L30" i="5"/>
  <c r="L46" i="5"/>
  <c r="L62" i="5"/>
  <c r="L3" i="5"/>
  <c r="M64" i="5"/>
  <c r="M60" i="5"/>
  <c r="M56" i="5"/>
  <c r="M54" i="5"/>
  <c r="M47" i="5"/>
  <c r="M40" i="5"/>
  <c r="M37" i="5"/>
  <c r="M34" i="5"/>
  <c r="M31" i="5"/>
  <c r="M28" i="5"/>
  <c r="M23" i="5"/>
  <c r="M16" i="5"/>
  <c r="M45" i="5"/>
  <c r="M18" i="5"/>
  <c r="M13" i="5"/>
  <c r="M6" i="5"/>
  <c r="M3" i="5"/>
  <c r="M10" i="5"/>
  <c r="M65" i="5"/>
  <c r="M61" i="5"/>
  <c r="M57" i="5"/>
  <c r="M52" i="5"/>
  <c r="M50" i="5"/>
  <c r="M43" i="5"/>
  <c r="M26" i="5"/>
  <c r="M21" i="5"/>
  <c r="M14" i="5"/>
  <c r="M41" i="5"/>
  <c r="M38" i="5"/>
  <c r="M35" i="5"/>
  <c r="M32" i="5"/>
  <c r="M29" i="5"/>
  <c r="M7" i="5"/>
  <c r="M4" i="5"/>
  <c r="M62" i="5"/>
  <c r="M58" i="5"/>
  <c r="M55" i="5"/>
  <c r="M48" i="5"/>
  <c r="M46" i="5"/>
  <c r="M24" i="5"/>
  <c r="M19" i="5"/>
  <c r="M8" i="5"/>
  <c r="M53" i="5"/>
  <c r="M27" i="5"/>
  <c r="M22" i="5"/>
  <c r="M11" i="5"/>
  <c r="M15" i="5"/>
  <c r="M63" i="5"/>
  <c r="M59" i="5"/>
  <c r="M51" i="5"/>
  <c r="M44" i="5"/>
  <c r="M42" i="5"/>
  <c r="M39" i="5"/>
  <c r="M36" i="5"/>
  <c r="M33" i="5"/>
  <c r="M30" i="5"/>
  <c r="M17" i="5"/>
  <c r="M5" i="5"/>
  <c r="M49" i="5"/>
  <c r="M25" i="5"/>
  <c r="M20" i="5"/>
  <c r="M12" i="5"/>
  <c r="M9" i="5"/>
  <c r="N30" i="5"/>
  <c r="N33" i="5"/>
  <c r="N29" i="5"/>
  <c r="N32" i="5"/>
  <c r="N35" i="5"/>
  <c r="N38" i="5"/>
  <c r="N25" i="5"/>
  <c r="N36" i="5"/>
  <c r="N53" i="5"/>
  <c r="N7" i="5"/>
  <c r="N16" i="5"/>
  <c r="N21" i="5"/>
  <c r="N40" i="5"/>
  <c r="N42" i="5"/>
  <c r="N49" i="5"/>
  <c r="N55" i="5"/>
  <c r="N59" i="5"/>
  <c r="N63" i="5"/>
  <c r="I9" i="5"/>
  <c r="N8" i="5"/>
  <c r="N26" i="5"/>
  <c r="N56" i="5"/>
  <c r="N22" i="5"/>
  <c r="N37" i="5"/>
  <c r="N39" i="5"/>
  <c r="N44" i="5"/>
  <c r="N51" i="5"/>
  <c r="N57" i="5"/>
  <c r="N62" i="5"/>
  <c r="N17" i="5"/>
  <c r="N50" i="5"/>
  <c r="N13" i="5"/>
  <c r="N18" i="5"/>
  <c r="N27" i="5"/>
  <c r="N45" i="5"/>
  <c r="N52" i="5"/>
  <c r="N12" i="5"/>
  <c r="N43" i="5"/>
  <c r="N3" i="5"/>
  <c r="N4" i="5"/>
  <c r="N23" i="5"/>
  <c r="N34" i="5"/>
  <c r="N60" i="5"/>
  <c r="N58" i="5"/>
  <c r="N19" i="5"/>
  <c r="N28" i="5"/>
  <c r="N46" i="5"/>
  <c r="N61" i="5"/>
  <c r="N20" i="5"/>
  <c r="N31" i="5"/>
  <c r="N41" i="5"/>
  <c r="N47" i="5"/>
  <c r="H6" i="5"/>
  <c r="N6" i="5"/>
  <c r="N5" i="5"/>
  <c r="N24" i="5"/>
  <c r="N64" i="5"/>
  <c r="N14" i="5"/>
  <c r="N11" i="5"/>
  <c r="N15" i="5"/>
  <c r="N48" i="5"/>
  <c r="N54" i="5"/>
  <c r="H65" i="5"/>
  <c r="N65" i="5"/>
  <c r="P65" i="4"/>
  <c r="K29" i="4"/>
  <c r="K65" i="4"/>
  <c r="I63" i="4"/>
  <c r="I65" i="4"/>
  <c r="K64" i="4"/>
  <c r="I64" i="4"/>
  <c r="H64" i="4"/>
  <c r="K63" i="4"/>
  <c r="H63" i="4"/>
  <c r="H65" i="4"/>
  <c r="K62" i="4"/>
  <c r="K61" i="4"/>
  <c r="I61" i="4"/>
  <c r="H61" i="4"/>
  <c r="K60" i="4"/>
  <c r="I60" i="4"/>
  <c r="I62" i="4"/>
  <c r="H60" i="4"/>
  <c r="H62" i="4"/>
  <c r="K59" i="4"/>
  <c r="K58" i="4"/>
  <c r="I58" i="4"/>
  <c r="H58" i="4"/>
  <c r="K57" i="4"/>
  <c r="I57" i="4"/>
  <c r="I59" i="4"/>
  <c r="H57" i="4"/>
  <c r="K56" i="4"/>
  <c r="K55" i="4"/>
  <c r="F54" i="4"/>
  <c r="K54" i="4"/>
  <c r="F53" i="4"/>
  <c r="K53" i="4"/>
  <c r="K52" i="4"/>
  <c r="K51" i="4"/>
  <c r="F50" i="4"/>
  <c r="K50" i="4"/>
  <c r="F49" i="4"/>
  <c r="K49" i="4"/>
  <c r="K48" i="4"/>
  <c r="K47" i="4"/>
  <c r="G46" i="4"/>
  <c r="K46" i="4"/>
  <c r="G45" i="4"/>
  <c r="K45" i="4"/>
  <c r="K44" i="4"/>
  <c r="K43" i="4"/>
  <c r="G42" i="4"/>
  <c r="K42" i="4"/>
  <c r="G41" i="4"/>
  <c r="K41" i="4"/>
  <c r="H38" i="4"/>
  <c r="H40" i="4"/>
  <c r="F40" i="4"/>
  <c r="K40" i="4"/>
  <c r="K39" i="4"/>
  <c r="H39" i="4"/>
  <c r="K38" i="4"/>
  <c r="H35" i="4"/>
  <c r="H37" i="4"/>
  <c r="F37" i="4"/>
  <c r="K37" i="4"/>
  <c r="K36" i="4"/>
  <c r="H36" i="4"/>
  <c r="K35" i="4"/>
  <c r="I32" i="4"/>
  <c r="I34" i="4"/>
  <c r="G34" i="4"/>
  <c r="K34" i="4"/>
  <c r="K33" i="4"/>
  <c r="I33" i="4"/>
  <c r="K32" i="4"/>
  <c r="I29" i="4"/>
  <c r="I31" i="4"/>
  <c r="G31" i="4"/>
  <c r="K31" i="4"/>
  <c r="K30" i="4"/>
  <c r="I30" i="4"/>
  <c r="K28" i="4"/>
  <c r="A28" i="4"/>
  <c r="K27" i="4"/>
  <c r="A27" i="4"/>
  <c r="K26" i="4"/>
  <c r="A26" i="4"/>
  <c r="K25" i="4"/>
  <c r="A25" i="4"/>
  <c r="K24" i="4"/>
  <c r="F23" i="4"/>
  <c r="K23" i="4"/>
  <c r="F22" i="4"/>
  <c r="K22" i="4"/>
  <c r="F21" i="4"/>
  <c r="K21" i="4"/>
  <c r="F20" i="4"/>
  <c r="K20" i="4"/>
  <c r="K19" i="4"/>
  <c r="A19" i="4"/>
  <c r="K18" i="4"/>
  <c r="A18" i="4"/>
  <c r="K17" i="4"/>
  <c r="K16" i="4"/>
  <c r="K15" i="4"/>
  <c r="G14" i="4"/>
  <c r="K14" i="4"/>
  <c r="A14" i="4"/>
  <c r="G13" i="4"/>
  <c r="K13" i="4"/>
  <c r="B13" i="4"/>
  <c r="G12" i="4"/>
  <c r="K12" i="4"/>
  <c r="B12" i="4"/>
  <c r="B14" i="4"/>
  <c r="G11" i="4"/>
  <c r="K11" i="4"/>
  <c r="K10" i="4"/>
  <c r="K9" i="4"/>
  <c r="F8" i="4"/>
  <c r="K8" i="4"/>
  <c r="A8" i="4"/>
  <c r="F7" i="4"/>
  <c r="K7" i="4"/>
  <c r="I7" i="4"/>
  <c r="K6" i="4"/>
  <c r="K5" i="4"/>
  <c r="G4" i="4"/>
  <c r="K4" i="4"/>
  <c r="H3" i="4"/>
  <c r="G3" i="4"/>
  <c r="K3" i="4"/>
  <c r="M52" i="4"/>
  <c r="M46" i="4"/>
  <c r="M15" i="4"/>
  <c r="M40" i="4"/>
  <c r="M57" i="4"/>
  <c r="M34" i="4"/>
  <c r="M19" i="4"/>
  <c r="M3" i="4"/>
  <c r="L61" i="4"/>
  <c r="L30" i="4"/>
  <c r="L63" i="4"/>
  <c r="L64" i="4"/>
  <c r="L33" i="4"/>
  <c r="L52" i="4"/>
  <c r="L59" i="4"/>
  <c r="M59" i="4"/>
  <c r="L9" i="4"/>
  <c r="M60" i="4"/>
  <c r="M54" i="4"/>
  <c r="M23" i="4"/>
  <c r="M56" i="4"/>
  <c r="M65" i="4"/>
  <c r="M42" i="4"/>
  <c r="M27" i="4"/>
  <c r="L5" i="4"/>
  <c r="L7" i="4"/>
  <c r="L38" i="4"/>
  <c r="L8" i="4"/>
  <c r="L26" i="4"/>
  <c r="L41" i="4"/>
  <c r="L10" i="4"/>
  <c r="L4" i="4"/>
  <c r="M37" i="4"/>
  <c r="L18" i="4"/>
  <c r="M4" i="4"/>
  <c r="M29" i="4"/>
  <c r="M62" i="4"/>
  <c r="M31" i="4"/>
  <c r="M9" i="4"/>
  <c r="M5" i="4"/>
  <c r="M50" i="4"/>
  <c r="M35" i="4"/>
  <c r="L13" i="4"/>
  <c r="L23" i="4"/>
  <c r="L46" i="4"/>
  <c r="L16" i="4"/>
  <c r="L34" i="4"/>
  <c r="L49" i="4"/>
  <c r="L11" i="4"/>
  <c r="L12" i="4"/>
  <c r="M33" i="4"/>
  <c r="L36" i="4"/>
  <c r="M12" i="4"/>
  <c r="M6" i="4"/>
  <c r="M8" i="4"/>
  <c r="M39" i="4"/>
  <c r="M17" i="4"/>
  <c r="M53" i="4"/>
  <c r="M58" i="4"/>
  <c r="M43" i="4"/>
  <c r="L21" i="4"/>
  <c r="L39" i="4"/>
  <c r="L54" i="4"/>
  <c r="L24" i="4"/>
  <c r="L50" i="4"/>
  <c r="L57" i="4"/>
  <c r="L19" i="4"/>
  <c r="L20" i="4"/>
  <c r="M10" i="4"/>
  <c r="L35" i="4"/>
  <c r="M20" i="4"/>
  <c r="M14" i="4"/>
  <c r="M24" i="4"/>
  <c r="M47" i="4"/>
  <c r="M25" i="4"/>
  <c r="M64" i="4"/>
  <c r="M21" i="4"/>
  <c r="M51" i="4"/>
  <c r="L29" i="4"/>
  <c r="L55" i="4"/>
  <c r="L62" i="4"/>
  <c r="L32" i="4"/>
  <c r="L44" i="4"/>
  <c r="L65" i="4"/>
  <c r="L27" i="4"/>
  <c r="L28" i="4"/>
  <c r="M55" i="4"/>
  <c r="M28" i="4"/>
  <c r="M22" i="4"/>
  <c r="M32" i="4"/>
  <c r="L37" i="4"/>
  <c r="M36" i="4"/>
  <c r="M30" i="4"/>
  <c r="M48" i="4"/>
  <c r="M63" i="4"/>
  <c r="M41" i="4"/>
  <c r="M18" i="4"/>
  <c r="M61" i="4"/>
  <c r="M13" i="4"/>
  <c r="L45" i="4"/>
  <c r="L14" i="4"/>
  <c r="L31" i="4"/>
  <c r="L48" i="4"/>
  <c r="L17" i="4"/>
  <c r="L42" i="4"/>
  <c r="L43" i="4"/>
  <c r="L60" i="4"/>
  <c r="L15" i="4"/>
  <c r="M44" i="4"/>
  <c r="M38" i="4"/>
  <c r="M7" i="4"/>
  <c r="M16" i="4"/>
  <c r="M49" i="4"/>
  <c r="M26" i="4"/>
  <c r="M11" i="4"/>
  <c r="M45" i="4"/>
  <c r="L53" i="4"/>
  <c r="L22" i="4"/>
  <c r="L47" i="4"/>
  <c r="L56" i="4"/>
  <c r="L25" i="4"/>
  <c r="L58" i="4"/>
  <c r="L51" i="4"/>
  <c r="L3" i="4"/>
  <c r="L6" i="4"/>
  <c r="L40" i="4"/>
  <c r="N9" i="5"/>
  <c r="I10" i="5"/>
  <c r="N10" i="5"/>
  <c r="N15" i="4"/>
  <c r="N17" i="4"/>
  <c r="N30" i="4"/>
  <c r="N33" i="4"/>
  <c r="N36" i="4"/>
  <c r="N39" i="4"/>
  <c r="N42" i="4"/>
  <c r="N44" i="4"/>
  <c r="N51" i="4"/>
  <c r="N63" i="4"/>
  <c r="N27" i="4"/>
  <c r="N19" i="4"/>
  <c r="N24" i="4"/>
  <c r="N46" i="4"/>
  <c r="N48" i="4"/>
  <c r="N55" i="4"/>
  <c r="N58" i="4"/>
  <c r="N47" i="4"/>
  <c r="N14" i="4"/>
  <c r="N20" i="4"/>
  <c r="N26" i="4"/>
  <c r="N34" i="4"/>
  <c r="N38" i="4"/>
  <c r="N65" i="4"/>
  <c r="N54" i="4"/>
  <c r="N43" i="4"/>
  <c r="N49" i="4"/>
  <c r="N56" i="4"/>
  <c r="N62" i="4"/>
  <c r="N11" i="4"/>
  <c r="N16" i="4"/>
  <c r="N22" i="4"/>
  <c r="N31" i="4"/>
  <c r="N35" i="4"/>
  <c r="N57" i="4"/>
  <c r="N21" i="4"/>
  <c r="N23" i="4"/>
  <c r="N50" i="4"/>
  <c r="N64" i="4"/>
  <c r="N12" i="4"/>
  <c r="N32" i="4"/>
  <c r="N45" i="4"/>
  <c r="N18" i="4"/>
  <c r="N52" i="4"/>
  <c r="N7" i="4"/>
  <c r="N28" i="4"/>
  <c r="N40" i="4"/>
  <c r="N61" i="4"/>
  <c r="N3" i="4"/>
  <c r="N13" i="4"/>
  <c r="N25" i="4"/>
  <c r="N29" i="4"/>
  <c r="N37" i="4"/>
  <c r="N41" i="4"/>
  <c r="N53" i="4"/>
  <c r="I8" i="4"/>
  <c r="N60" i="4"/>
  <c r="H4" i="4"/>
  <c r="H59" i="4"/>
  <c r="N59" i="4"/>
  <c r="K57" i="3"/>
  <c r="K58" i="3"/>
  <c r="K59" i="3"/>
  <c r="K60" i="3"/>
  <c r="K61" i="3"/>
  <c r="K62" i="3"/>
  <c r="K63" i="3"/>
  <c r="K64" i="3"/>
  <c r="K65" i="3"/>
  <c r="I64" i="3"/>
  <c r="I63" i="3"/>
  <c r="I65" i="3"/>
  <c r="I60" i="3"/>
  <c r="I62" i="3"/>
  <c r="I61" i="3"/>
  <c r="I57" i="3"/>
  <c r="I59" i="3"/>
  <c r="I58" i="3"/>
  <c r="H63" i="3"/>
  <c r="H65" i="3"/>
  <c r="H64" i="3"/>
  <c r="H60" i="3"/>
  <c r="H62" i="3"/>
  <c r="H61" i="3"/>
  <c r="H58" i="3"/>
  <c r="H57" i="3"/>
  <c r="H59" i="3"/>
  <c r="K43" i="3"/>
  <c r="K44" i="3"/>
  <c r="K47" i="3"/>
  <c r="K48" i="3"/>
  <c r="K51" i="3"/>
  <c r="K52" i="3"/>
  <c r="F53" i="3"/>
  <c r="K53" i="3"/>
  <c r="F54" i="3"/>
  <c r="K54" i="3"/>
  <c r="K55" i="3"/>
  <c r="K56" i="3"/>
  <c r="F50" i="3"/>
  <c r="K50" i="3"/>
  <c r="F49" i="3"/>
  <c r="K49" i="3"/>
  <c r="G46" i="3"/>
  <c r="K46" i="3"/>
  <c r="G45" i="3"/>
  <c r="K45" i="3"/>
  <c r="G42" i="3"/>
  <c r="K42" i="3"/>
  <c r="G41" i="3"/>
  <c r="K41" i="3"/>
  <c r="K35" i="3"/>
  <c r="K36" i="3"/>
  <c r="K38" i="3"/>
  <c r="K39" i="3"/>
  <c r="H38" i="3"/>
  <c r="H40" i="3"/>
  <c r="H39" i="3"/>
  <c r="H36" i="3"/>
  <c r="H35" i="3"/>
  <c r="H37" i="3"/>
  <c r="F40" i="3"/>
  <c r="K40" i="3"/>
  <c r="F37" i="3"/>
  <c r="K37" i="3"/>
  <c r="K29" i="3"/>
  <c r="K30" i="3"/>
  <c r="G31" i="3"/>
  <c r="K31" i="3"/>
  <c r="K32" i="3"/>
  <c r="K33" i="3"/>
  <c r="I32" i="3"/>
  <c r="I34" i="3"/>
  <c r="I33" i="3"/>
  <c r="I29" i="3"/>
  <c r="I31" i="3"/>
  <c r="I30" i="3"/>
  <c r="G34" i="3"/>
  <c r="K34" i="3"/>
  <c r="K5" i="3"/>
  <c r="K6" i="3"/>
  <c r="K9" i="3"/>
  <c r="K10" i="3"/>
  <c r="G14" i="3"/>
  <c r="K14" i="3"/>
  <c r="K15" i="3"/>
  <c r="K16" i="3"/>
  <c r="K17" i="3"/>
  <c r="K18" i="3"/>
  <c r="K19" i="3"/>
  <c r="F22" i="3"/>
  <c r="K22" i="3"/>
  <c r="K24" i="3"/>
  <c r="K25" i="3"/>
  <c r="K26" i="3"/>
  <c r="K27" i="3"/>
  <c r="K28" i="3"/>
  <c r="F23" i="3"/>
  <c r="K23" i="3"/>
  <c r="F21" i="3"/>
  <c r="K21" i="3"/>
  <c r="F20" i="3"/>
  <c r="K20" i="3"/>
  <c r="G13" i="3"/>
  <c r="K13" i="3"/>
  <c r="G12" i="3"/>
  <c r="K12" i="3"/>
  <c r="G11" i="3"/>
  <c r="K11" i="3"/>
  <c r="I7" i="3"/>
  <c r="I8" i="3"/>
  <c r="H3" i="3"/>
  <c r="H4" i="3"/>
  <c r="H5" i="3"/>
  <c r="F8" i="3"/>
  <c r="K8" i="3"/>
  <c r="F7" i="3"/>
  <c r="K7" i="3"/>
  <c r="G4" i="3"/>
  <c r="K4" i="3"/>
  <c r="G3" i="3"/>
  <c r="K3" i="3"/>
  <c r="A25" i="3"/>
  <c r="A27" i="3"/>
  <c r="A26" i="3"/>
  <c r="A28" i="3"/>
  <c r="A18" i="3"/>
  <c r="A19" i="3"/>
  <c r="B12" i="3"/>
  <c r="B14" i="3"/>
  <c r="B13" i="3"/>
  <c r="A14" i="3"/>
  <c r="A8" i="3"/>
  <c r="D3" i="2"/>
  <c r="D4" i="2"/>
  <c r="G4" i="2"/>
  <c r="D5" i="2"/>
  <c r="G5" i="2"/>
  <c r="D6" i="2"/>
  <c r="G6" i="2"/>
  <c r="D7" i="2"/>
  <c r="G7" i="2"/>
  <c r="D8" i="2"/>
  <c r="G8" i="2"/>
  <c r="D9" i="2"/>
  <c r="G9" i="2"/>
  <c r="D10" i="2"/>
  <c r="G10" i="2"/>
  <c r="D11" i="2"/>
  <c r="G11" i="2"/>
  <c r="D12" i="2"/>
  <c r="G12" i="2"/>
  <c r="D13" i="2"/>
  <c r="G13" i="2"/>
  <c r="D14" i="2"/>
  <c r="G14" i="2"/>
  <c r="D15" i="2"/>
  <c r="G15" i="2"/>
  <c r="D16" i="2"/>
  <c r="G16" i="2"/>
  <c r="D17" i="2"/>
  <c r="G17" i="2"/>
  <c r="D18" i="2"/>
  <c r="G18" i="2"/>
  <c r="D19" i="2"/>
  <c r="G19" i="2"/>
  <c r="D20" i="2"/>
  <c r="G20" i="2"/>
  <c r="D21" i="2"/>
  <c r="G21" i="2"/>
  <c r="D22" i="2"/>
  <c r="G22" i="2"/>
  <c r="D23" i="2"/>
  <c r="G23" i="2"/>
  <c r="D24" i="2"/>
  <c r="G24" i="2"/>
  <c r="D25" i="2"/>
  <c r="G25" i="2"/>
  <c r="D26" i="2"/>
  <c r="G26" i="2"/>
  <c r="D27" i="2"/>
  <c r="G27" i="2"/>
  <c r="D28" i="2"/>
  <c r="G28" i="2"/>
  <c r="D29" i="2"/>
  <c r="G29" i="2"/>
  <c r="D30" i="2"/>
  <c r="G30" i="2"/>
  <c r="D31" i="2"/>
  <c r="G31" i="2"/>
  <c r="D32" i="2"/>
  <c r="G32" i="2"/>
  <c r="D33" i="2"/>
  <c r="G33" i="2"/>
  <c r="D34" i="2"/>
  <c r="G34" i="2"/>
  <c r="D35" i="2"/>
  <c r="G35" i="2"/>
  <c r="D36" i="2"/>
  <c r="G36" i="2"/>
  <c r="D37" i="2"/>
  <c r="G37" i="2"/>
  <c r="D38" i="2"/>
  <c r="G38" i="2"/>
  <c r="D39" i="2"/>
  <c r="G39" i="2"/>
  <c r="D40" i="2"/>
  <c r="G40" i="2"/>
  <c r="D41" i="2"/>
  <c r="G41" i="2"/>
  <c r="D42" i="2"/>
  <c r="G42" i="2"/>
  <c r="D43" i="2"/>
  <c r="G43" i="2"/>
  <c r="D44" i="2"/>
  <c r="G44" i="2"/>
  <c r="D45" i="2"/>
  <c r="G45" i="2"/>
  <c r="D46" i="2"/>
  <c r="G46" i="2"/>
  <c r="D47" i="2"/>
  <c r="G47" i="2"/>
  <c r="D48" i="2"/>
  <c r="G48" i="2"/>
  <c r="D49" i="2"/>
  <c r="G49" i="2"/>
  <c r="D50" i="2"/>
  <c r="G50" i="2"/>
  <c r="D51" i="2"/>
  <c r="G51" i="2"/>
  <c r="D52" i="2"/>
  <c r="G52" i="2"/>
  <c r="D53" i="2"/>
  <c r="G53" i="2"/>
  <c r="D54" i="2"/>
  <c r="G54" i="2"/>
  <c r="D55" i="2"/>
  <c r="G55" i="2"/>
  <c r="D56" i="2"/>
  <c r="G56" i="2"/>
  <c r="D57" i="2"/>
  <c r="G57" i="2"/>
  <c r="D58" i="2"/>
  <c r="G58" i="2"/>
  <c r="D59" i="2"/>
  <c r="G59" i="2"/>
  <c r="D60" i="2"/>
  <c r="G60" i="2"/>
  <c r="D61" i="2"/>
  <c r="G61" i="2"/>
  <c r="D62" i="2"/>
  <c r="G62" i="2"/>
  <c r="D63" i="2"/>
  <c r="G63" i="2"/>
  <c r="D64" i="2"/>
  <c r="G64" i="2"/>
  <c r="D65" i="2"/>
  <c r="G65" i="2"/>
  <c r="D66" i="2"/>
  <c r="G66" i="2"/>
  <c r="G3" i="2"/>
  <c r="F60" i="2"/>
  <c r="F61" i="2"/>
  <c r="F62" i="2"/>
  <c r="F63" i="2"/>
  <c r="F64" i="2"/>
  <c r="F65" i="2"/>
  <c r="F66" i="2"/>
  <c r="F52" i="2"/>
  <c r="F53" i="2"/>
  <c r="F54" i="2"/>
  <c r="F55" i="2"/>
  <c r="F56" i="2"/>
  <c r="F57" i="2"/>
  <c r="F58" i="2"/>
  <c r="F44" i="2"/>
  <c r="F45" i="2"/>
  <c r="F46" i="2"/>
  <c r="F47" i="2"/>
  <c r="F48" i="2"/>
  <c r="F49" i="2"/>
  <c r="F50" i="2"/>
  <c r="F36" i="2"/>
  <c r="F37" i="2"/>
  <c r="F38" i="2"/>
  <c r="F39" i="2"/>
  <c r="F40" i="2"/>
  <c r="F41" i="2"/>
  <c r="F42" i="2"/>
  <c r="F28" i="2"/>
  <c r="F29" i="2"/>
  <c r="F30" i="2"/>
  <c r="F31" i="2"/>
  <c r="F32" i="2"/>
  <c r="F33" i="2"/>
  <c r="F34" i="2"/>
  <c r="F20" i="2"/>
  <c r="F21" i="2"/>
  <c r="F22" i="2"/>
  <c r="F23" i="2"/>
  <c r="F24" i="2"/>
  <c r="F25" i="2"/>
  <c r="F26" i="2"/>
  <c r="F12" i="2"/>
  <c r="F13" i="2"/>
  <c r="F14" i="2"/>
  <c r="F15" i="2"/>
  <c r="F16" i="2"/>
  <c r="F17" i="2"/>
  <c r="F18" i="2"/>
  <c r="F59" i="2"/>
  <c r="F51" i="2"/>
  <c r="F43" i="2"/>
  <c r="F35" i="2"/>
  <c r="F27" i="2"/>
  <c r="F19" i="2"/>
  <c r="F11" i="2"/>
  <c r="F4" i="2"/>
  <c r="F5" i="2"/>
  <c r="F6" i="2"/>
  <c r="F7" i="2"/>
  <c r="F8" i="2"/>
  <c r="F9" i="2"/>
  <c r="F10" i="2"/>
  <c r="F3" i="2"/>
  <c r="L49" i="3"/>
  <c r="M7" i="3"/>
  <c r="H53" i="2"/>
  <c r="L53" i="3"/>
  <c r="M11" i="3"/>
  <c r="H41" i="2"/>
  <c r="M65" i="3"/>
  <c r="M64" i="3"/>
  <c r="H14" i="2"/>
  <c r="M5" i="3"/>
  <c r="M19" i="3"/>
  <c r="H10" i="2"/>
  <c r="H54" i="2"/>
  <c r="M9" i="3"/>
  <c r="M55" i="3"/>
  <c r="L56" i="3"/>
  <c r="M18" i="3"/>
  <c r="L6" i="3"/>
  <c r="H4" i="2"/>
  <c r="L23" i="3"/>
  <c r="M53" i="3"/>
  <c r="M8" i="3"/>
  <c r="H29" i="2"/>
  <c r="H48" i="2"/>
  <c r="M25" i="3"/>
  <c r="M39" i="3"/>
  <c r="H45" i="2"/>
  <c r="M29" i="3"/>
  <c r="M43" i="3"/>
  <c r="L12" i="3"/>
  <c r="L22" i="3"/>
  <c r="H44" i="2"/>
  <c r="M30" i="3"/>
  <c r="M37" i="3"/>
  <c r="M51" i="3"/>
  <c r="H36" i="2"/>
  <c r="L55" i="3"/>
  <c r="M41" i="3"/>
  <c r="M3" i="3"/>
  <c r="L61" i="3"/>
  <c r="L28" i="3"/>
  <c r="L38" i="3"/>
  <c r="H61" i="2"/>
  <c r="H5" i="2"/>
  <c r="L10" i="3"/>
  <c r="H12" i="2"/>
  <c r="H20" i="2"/>
  <c r="M57" i="3"/>
  <c r="M40" i="3"/>
  <c r="H19" i="2"/>
  <c r="M61" i="3"/>
  <c r="M52" i="3"/>
  <c r="L44" i="3"/>
  <c r="L54" i="3"/>
  <c r="H62" i="2"/>
  <c r="H3" i="2"/>
  <c r="M14" i="3"/>
  <c r="L65" i="3"/>
  <c r="H38" i="2"/>
  <c r="H15" i="2"/>
  <c r="M42" i="3"/>
  <c r="H7" i="2"/>
  <c r="L5" i="3"/>
  <c r="L60" i="3"/>
  <c r="M34" i="3"/>
  <c r="H23" i="2"/>
  <c r="L32" i="3"/>
  <c r="L42" i="3"/>
  <c r="H6" i="2"/>
  <c r="H39" i="2"/>
  <c r="L4" i="3"/>
  <c r="L14" i="3"/>
  <c r="H30" i="2"/>
  <c r="L8" i="3"/>
  <c r="L18" i="3"/>
  <c r="H28" i="2"/>
  <c r="M36" i="3"/>
  <c r="M10" i="3"/>
  <c r="H55" i="2"/>
  <c r="L16" i="3"/>
  <c r="L26" i="3"/>
  <c r="H52" i="2"/>
  <c r="M23" i="3"/>
  <c r="L20" i="3"/>
  <c r="L30" i="3"/>
  <c r="H17" i="2"/>
  <c r="L37" i="3"/>
  <c r="M4" i="3"/>
  <c r="M38" i="3"/>
  <c r="H64" i="2"/>
  <c r="L64" i="3"/>
  <c r="M46" i="3"/>
  <c r="H31" i="2"/>
  <c r="H16" i="2"/>
  <c r="L36" i="3"/>
  <c r="L46" i="3"/>
  <c r="H25" i="2"/>
  <c r="L40" i="3"/>
  <c r="L50" i="3"/>
  <c r="H46" i="2"/>
  <c r="M32" i="3"/>
  <c r="L11" i="3"/>
  <c r="H49" i="2"/>
  <c r="L48" i="3"/>
  <c r="L58" i="3"/>
  <c r="H22" i="2"/>
  <c r="H13" i="2"/>
  <c r="L52" i="3"/>
  <c r="L62" i="3"/>
  <c r="H60" i="2"/>
  <c r="M13" i="3"/>
  <c r="L9" i="3"/>
  <c r="L27" i="3"/>
  <c r="H50" i="2"/>
  <c r="M16" i="3"/>
  <c r="M50" i="3"/>
  <c r="H9" i="2"/>
  <c r="H43" i="2"/>
  <c r="M12" i="3"/>
  <c r="M58" i="3"/>
  <c r="H42" i="2"/>
  <c r="M28" i="3"/>
  <c r="M6" i="3"/>
  <c r="H33" i="2"/>
  <c r="L25" i="3"/>
  <c r="L43" i="3"/>
  <c r="H40" i="2"/>
  <c r="M48" i="3"/>
  <c r="M22" i="3"/>
  <c r="H63" i="2"/>
  <c r="H32" i="2"/>
  <c r="M60" i="3"/>
  <c r="M26" i="3"/>
  <c r="M27" i="3"/>
  <c r="M45" i="3"/>
  <c r="L41" i="3"/>
  <c r="L59" i="3"/>
  <c r="H57" i="2"/>
  <c r="L13" i="3"/>
  <c r="L31" i="3"/>
  <c r="H8" i="2"/>
  <c r="H47" i="2"/>
  <c r="M20" i="3"/>
  <c r="M62" i="3"/>
  <c r="H37" i="2"/>
  <c r="M24" i="3"/>
  <c r="L7" i="3"/>
  <c r="H51" i="2"/>
  <c r="L57" i="3"/>
  <c r="M15" i="3"/>
  <c r="H58" i="2"/>
  <c r="M44" i="3"/>
  <c r="L15" i="3"/>
  <c r="H65" i="2"/>
  <c r="H18" i="2"/>
  <c r="M56" i="3"/>
  <c r="L19" i="3"/>
  <c r="H34" i="2"/>
  <c r="M54" i="3"/>
  <c r="M17" i="3"/>
  <c r="M31" i="3"/>
  <c r="H27" i="2"/>
  <c r="L45" i="3"/>
  <c r="L63" i="3"/>
  <c r="H26" i="2"/>
  <c r="H66" i="2"/>
  <c r="L17" i="3"/>
  <c r="L35" i="3"/>
  <c r="H24" i="2"/>
  <c r="L21" i="3"/>
  <c r="L39" i="3"/>
  <c r="L3" i="3"/>
  <c r="M33" i="3"/>
  <c r="M47" i="3"/>
  <c r="H59" i="2"/>
  <c r="L29" i="3"/>
  <c r="L47" i="3"/>
  <c r="H56" i="2"/>
  <c r="H11" i="2"/>
  <c r="L33" i="3"/>
  <c r="L51" i="3"/>
  <c r="L24" i="3"/>
  <c r="L34" i="3"/>
  <c r="M49" i="3"/>
  <c r="M63" i="3"/>
  <c r="H21" i="2"/>
  <c r="M21" i="3"/>
  <c r="M35" i="3"/>
  <c r="H35" i="2"/>
  <c r="M59" i="3"/>
  <c r="N66" i="5"/>
  <c r="O2" i="5"/>
  <c r="I9" i="4"/>
  <c r="N8" i="4"/>
  <c r="H5" i="4"/>
  <c r="N4" i="4"/>
  <c r="I48" i="2"/>
  <c r="I66" i="2"/>
  <c r="I47" i="2"/>
  <c r="I43" i="2"/>
  <c r="I16" i="2"/>
  <c r="I39" i="2"/>
  <c r="I20" i="2"/>
  <c r="I29" i="2"/>
  <c r="I35" i="2"/>
  <c r="I26" i="2"/>
  <c r="I8" i="2"/>
  <c r="I9" i="2"/>
  <c r="I31" i="2"/>
  <c r="I6" i="2"/>
  <c r="I12" i="2"/>
  <c r="I5" i="2"/>
  <c r="I21" i="2"/>
  <c r="I27" i="2"/>
  <c r="I57" i="2"/>
  <c r="I50" i="2"/>
  <c r="I64" i="2"/>
  <c r="I23" i="2"/>
  <c r="I61" i="2"/>
  <c r="I4" i="2"/>
  <c r="I34" i="2"/>
  <c r="I60" i="2"/>
  <c r="I17" i="2"/>
  <c r="I7" i="2"/>
  <c r="I15" i="2"/>
  <c r="I54" i="2"/>
  <c r="I11" i="2"/>
  <c r="I18" i="2"/>
  <c r="I32" i="2"/>
  <c r="I13" i="2"/>
  <c r="I38" i="2"/>
  <c r="I36" i="2"/>
  <c r="I10" i="2"/>
  <c r="I56" i="2"/>
  <c r="I65" i="2"/>
  <c r="I63" i="2"/>
  <c r="I22" i="2"/>
  <c r="I52" i="2"/>
  <c r="I3" i="2"/>
  <c r="I14" i="2"/>
  <c r="I59" i="2"/>
  <c r="I58" i="2"/>
  <c r="I40" i="2"/>
  <c r="I49" i="2"/>
  <c r="I55" i="2"/>
  <c r="I62" i="2"/>
  <c r="I44" i="2"/>
  <c r="I41" i="2"/>
  <c r="I51" i="2"/>
  <c r="I33" i="2"/>
  <c r="I46" i="2"/>
  <c r="I28" i="2"/>
  <c r="I19" i="2"/>
  <c r="I45" i="2"/>
  <c r="I53" i="2"/>
  <c r="I24" i="2"/>
  <c r="I37" i="2"/>
  <c r="I42" i="2"/>
  <c r="I25" i="2"/>
  <c r="I30" i="2"/>
  <c r="N64" i="3"/>
  <c r="N62" i="3"/>
  <c r="N60" i="3"/>
  <c r="N58" i="3"/>
  <c r="N65" i="3"/>
  <c r="N63" i="3"/>
  <c r="N61" i="3"/>
  <c r="N59" i="3"/>
  <c r="N57" i="3"/>
  <c r="N28" i="3"/>
  <c r="N24" i="3"/>
  <c r="N16" i="3"/>
  <c r="N13" i="3"/>
  <c r="N26" i="3"/>
  <c r="N15" i="3"/>
  <c r="N25" i="3"/>
  <c r="N14" i="3"/>
  <c r="N20" i="3"/>
  <c r="N3" i="3"/>
  <c r="N21" i="3"/>
  <c r="N22" i="3"/>
  <c r="H6" i="3"/>
  <c r="N6" i="3"/>
  <c r="N5" i="3"/>
  <c r="N19" i="3"/>
  <c r="I9" i="3"/>
  <c r="N8" i="3"/>
  <c r="N23" i="3"/>
  <c r="N18" i="3"/>
  <c r="N11" i="3"/>
  <c r="N17" i="3"/>
  <c r="N12" i="3"/>
  <c r="N27" i="3"/>
  <c r="N7" i="3"/>
  <c r="N4" i="3"/>
  <c r="N56" i="3"/>
  <c r="N54" i="3"/>
  <c r="N52" i="3"/>
  <c r="N50" i="3"/>
  <c r="N48" i="3"/>
  <c r="N46" i="3"/>
  <c r="N44" i="3"/>
  <c r="N42" i="3"/>
  <c r="N55" i="3"/>
  <c r="N53" i="3"/>
  <c r="N51" i="3"/>
  <c r="N49" i="3"/>
  <c r="N47" i="3"/>
  <c r="N45" i="3"/>
  <c r="N43" i="3"/>
  <c r="N41" i="3"/>
  <c r="N36" i="3"/>
  <c r="N40" i="3"/>
  <c r="N38" i="3"/>
  <c r="N39" i="3"/>
  <c r="N37" i="3"/>
  <c r="N35" i="3"/>
  <c r="N34" i="3"/>
  <c r="N32" i="3"/>
  <c r="N30" i="3"/>
  <c r="N33" i="3"/>
  <c r="N31" i="3"/>
  <c r="N29" i="3"/>
  <c r="N5" i="4"/>
  <c r="H6" i="4"/>
  <c r="N6" i="4"/>
  <c r="I10" i="4"/>
  <c r="N10" i="4"/>
  <c r="N9" i="4"/>
  <c r="K67" i="2"/>
  <c r="I10" i="3"/>
  <c r="N10" i="3"/>
  <c r="N9" i="3"/>
  <c r="N66" i="3"/>
  <c r="O2" i="3"/>
  <c r="N66" i="4"/>
  <c r="O2" i="4"/>
</calcChain>
</file>

<file path=xl/sharedStrings.xml><?xml version="1.0" encoding="utf-8"?>
<sst xmlns="http://schemas.openxmlformats.org/spreadsheetml/2006/main" count="127" uniqueCount="25">
  <si>
    <t>Point</t>
  </si>
  <si>
    <t>Weight</t>
  </si>
  <si>
    <t>x</t>
  </si>
  <si>
    <t>y</t>
  </si>
  <si>
    <t>wt</t>
  </si>
  <si>
    <t>u(x,y)</t>
  </si>
  <si>
    <t>Leg(6,x)</t>
  </si>
  <si>
    <t>u*L*wt</t>
  </si>
  <si>
    <t>Total:</t>
  </si>
  <si>
    <t>Points</t>
  </si>
  <si>
    <t>weights</t>
  </si>
  <si>
    <t>soln</t>
  </si>
  <si>
    <t>total</t>
  </si>
  <si>
    <t>quad</t>
  </si>
  <si>
    <t>pts</t>
  </si>
  <si>
    <t>wts</t>
  </si>
  <si>
    <t>s(k)</t>
  </si>
  <si>
    <t>poly idx x</t>
  </si>
  <si>
    <t>poly idx y</t>
  </si>
  <si>
    <t>poly val x</t>
  </si>
  <si>
    <t>poly val y</t>
  </si>
  <si>
    <t>TOTAL</t>
  </si>
  <si>
    <t>grand total</t>
  </si>
  <si>
    <t>q</t>
  </si>
  <si>
    <t>4,9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</si>
</sst>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K67"/>
  <sheetViews>
    <sheetView workbookViewId="0">
      <selection activeCell="J16" sqref="J16"/>
    </sheetView>
  </sheetViews>
  <sheetFormatPr baseColWidth="10" defaultColWidth="8.83203125" defaultRowHeight="14" x14ac:dyDescent="0"/>
  <cols>
    <col min="9" max="9" width="12.6640625" bestFit="1" customWidth="1"/>
    <col min="11" max="11" width="12.6640625" bestFit="1" customWidth="1"/>
  </cols>
  <sheetData>
    <row r="2" spans="1:9">
      <c r="A2" t="s">
        <v>0</v>
      </c>
      <c r="B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</row>
    <row r="3" spans="1:9">
      <c r="A3">
        <v>-0.183434642495649</v>
      </c>
      <c r="B3">
        <v>0.36268378337836199</v>
      </c>
      <c r="D3">
        <f>$A$3</f>
        <v>-0.183434642495649</v>
      </c>
      <c r="E3">
        <v>-0.183434642495649</v>
      </c>
      <c r="F3">
        <f>B$3*B3</f>
        <v>0.13153952672564259</v>
      </c>
      <c r="G3">
        <f>D3^2*E3^2</f>
        <v>1.1322059439427814E-3</v>
      </c>
      <c r="H3">
        <f>Legendre(6,D3)</f>
        <v>-0.40895432882915517</v>
      </c>
      <c r="I3">
        <f>F3*G3*H3</f>
        <v>-6.0905500315183374E-5</v>
      </c>
    </row>
    <row r="4" spans="1:9">
      <c r="A4">
        <v>0.183434642495649</v>
      </c>
      <c r="B4">
        <v>0.36268378337836199</v>
      </c>
      <c r="D4">
        <f>D3</f>
        <v>-0.183434642495649</v>
      </c>
      <c r="E4">
        <v>0.183434642495649</v>
      </c>
      <c r="F4">
        <f t="shared" ref="F4:F10" si="0">B$3*B4</f>
        <v>0.13153952672564259</v>
      </c>
      <c r="G4">
        <f t="shared" ref="G4:G66" si="1">D4^2*E4^2</f>
        <v>1.1322059439427814E-3</v>
      </c>
      <c r="H4">
        <f t="shared" ref="H4:H66" si="2">Legendre(6,D4)</f>
        <v>-0.40895432882915517</v>
      </c>
      <c r="I4">
        <f t="shared" ref="I4:I66" si="3">F4*G4*H4</f>
        <v>-6.0905500315183374E-5</v>
      </c>
    </row>
    <row r="5" spans="1:9">
      <c r="A5">
        <v>0.52553240991632899</v>
      </c>
      <c r="B5">
        <v>0.31370664587788699</v>
      </c>
      <c r="D5">
        <f t="shared" ref="D5:D10" si="4">D4</f>
        <v>-0.183434642495649</v>
      </c>
      <c r="E5">
        <v>0.52553240991632899</v>
      </c>
      <c r="F5">
        <f t="shared" si="0"/>
        <v>0.11377631319792808</v>
      </c>
      <c r="G5">
        <f t="shared" si="1"/>
        <v>9.2931238292210533E-3</v>
      </c>
      <c r="H5">
        <f t="shared" si="2"/>
        <v>-0.40895432882915517</v>
      </c>
      <c r="I5">
        <f t="shared" si="3"/>
        <v>-4.3240269342311225E-4</v>
      </c>
    </row>
    <row r="6" spans="1:9">
      <c r="A6">
        <v>-0.52553240991632899</v>
      </c>
      <c r="B6">
        <v>0.31370664587788699</v>
      </c>
      <c r="D6">
        <f t="shared" si="4"/>
        <v>-0.183434642495649</v>
      </c>
      <c r="E6">
        <v>-0.52553240991632899</v>
      </c>
      <c r="F6">
        <f t="shared" si="0"/>
        <v>0.11377631319792808</v>
      </c>
      <c r="G6">
        <f t="shared" si="1"/>
        <v>9.2931238292210533E-3</v>
      </c>
      <c r="H6">
        <f t="shared" si="2"/>
        <v>-0.40895432882915517</v>
      </c>
      <c r="I6">
        <f t="shared" si="3"/>
        <v>-4.3240269342311225E-4</v>
      </c>
    </row>
    <row r="7" spans="1:9">
      <c r="A7">
        <v>0.79666647741362595</v>
      </c>
      <c r="B7">
        <v>0.22238103445337401</v>
      </c>
      <c r="D7">
        <f t="shared" si="4"/>
        <v>-0.183434642495649</v>
      </c>
      <c r="E7">
        <v>0.79666647741362595</v>
      </c>
      <c r="F7">
        <f t="shared" si="0"/>
        <v>8.0653994927143549E-2</v>
      </c>
      <c r="G7">
        <f t="shared" si="1"/>
        <v>2.1355797856751537E-2</v>
      </c>
      <c r="H7">
        <f t="shared" si="2"/>
        <v>-0.40895432882915517</v>
      </c>
      <c r="I7">
        <f t="shared" si="3"/>
        <v>-7.0439537309583355E-4</v>
      </c>
    </row>
    <row r="8" spans="1:9">
      <c r="A8">
        <v>-0.79666647741362595</v>
      </c>
      <c r="B8">
        <v>0.22238103445337401</v>
      </c>
      <c r="D8">
        <f t="shared" si="4"/>
        <v>-0.183434642495649</v>
      </c>
      <c r="E8">
        <v>-0.79666647741362595</v>
      </c>
      <c r="F8">
        <f t="shared" si="0"/>
        <v>8.0653994927143549E-2</v>
      </c>
      <c r="G8">
        <f t="shared" si="1"/>
        <v>2.1355797856751537E-2</v>
      </c>
      <c r="H8">
        <f t="shared" si="2"/>
        <v>-0.40895432882915517</v>
      </c>
      <c r="I8">
        <f t="shared" si="3"/>
        <v>-7.0439537309583355E-4</v>
      </c>
    </row>
    <row r="9" spans="1:9">
      <c r="A9">
        <v>0.96028985649753595</v>
      </c>
      <c r="B9">
        <v>0.10122853629037599</v>
      </c>
      <c r="D9">
        <f t="shared" si="4"/>
        <v>-0.183434642495649</v>
      </c>
      <c r="E9">
        <v>0.96028985649753595</v>
      </c>
      <c r="F9">
        <f t="shared" si="0"/>
        <v>3.671394852764738E-2</v>
      </c>
      <c r="G9">
        <f t="shared" si="1"/>
        <v>3.1028972762763469E-2</v>
      </c>
      <c r="H9">
        <f t="shared" si="2"/>
        <v>-0.40895432882915517</v>
      </c>
      <c r="I9">
        <f t="shared" si="3"/>
        <v>-4.6587918011093473E-4</v>
      </c>
    </row>
    <row r="10" spans="1:9">
      <c r="A10">
        <v>-0.96028985649753595</v>
      </c>
      <c r="B10">
        <v>0.10122853629037599</v>
      </c>
      <c r="D10">
        <f t="shared" si="4"/>
        <v>-0.183434642495649</v>
      </c>
      <c r="E10">
        <v>-0.96028985649753595</v>
      </c>
      <c r="F10">
        <f t="shared" si="0"/>
        <v>3.671394852764738E-2</v>
      </c>
      <c r="G10">
        <f t="shared" si="1"/>
        <v>3.1028972762763469E-2</v>
      </c>
      <c r="H10">
        <f t="shared" si="2"/>
        <v>-0.40895432882915517</v>
      </c>
      <c r="I10">
        <f t="shared" si="3"/>
        <v>-4.6587918011093473E-4</v>
      </c>
    </row>
    <row r="11" spans="1:9">
      <c r="D11">
        <f>$A$4</f>
        <v>0.183434642495649</v>
      </c>
      <c r="E11">
        <v>-0.183434642495649</v>
      </c>
      <c r="F11">
        <f>B$4*B3</f>
        <v>0.13153952672564259</v>
      </c>
      <c r="G11">
        <f t="shared" si="1"/>
        <v>1.1322059439427814E-3</v>
      </c>
      <c r="H11">
        <f t="shared" si="2"/>
        <v>-0.40895432882915517</v>
      </c>
      <c r="I11">
        <f t="shared" si="3"/>
        <v>-6.0905500315183374E-5</v>
      </c>
    </row>
    <row r="12" spans="1:9">
      <c r="D12">
        <f>D11</f>
        <v>0.183434642495649</v>
      </c>
      <c r="E12">
        <v>0.183434642495649</v>
      </c>
      <c r="F12">
        <f t="shared" ref="F12:F18" si="5">B$4*B4</f>
        <v>0.13153952672564259</v>
      </c>
      <c r="G12">
        <f t="shared" si="1"/>
        <v>1.1322059439427814E-3</v>
      </c>
      <c r="H12">
        <f t="shared" si="2"/>
        <v>-0.40895432882915517</v>
      </c>
      <c r="I12">
        <f t="shared" si="3"/>
        <v>-6.0905500315183374E-5</v>
      </c>
    </row>
    <row r="13" spans="1:9">
      <c r="D13">
        <f t="shared" ref="D13:D66" si="6">D12</f>
        <v>0.183434642495649</v>
      </c>
      <c r="E13">
        <v>0.52553240991632899</v>
      </c>
      <c r="F13">
        <f t="shared" si="5"/>
        <v>0.11377631319792808</v>
      </c>
      <c r="G13">
        <f t="shared" si="1"/>
        <v>9.2931238292210533E-3</v>
      </c>
      <c r="H13">
        <f t="shared" si="2"/>
        <v>-0.40895432882915517</v>
      </c>
      <c r="I13">
        <f t="shared" si="3"/>
        <v>-4.3240269342311225E-4</v>
      </c>
    </row>
    <row r="14" spans="1:9">
      <c r="D14">
        <f t="shared" si="6"/>
        <v>0.183434642495649</v>
      </c>
      <c r="E14">
        <v>-0.52553240991632899</v>
      </c>
      <c r="F14">
        <f t="shared" si="5"/>
        <v>0.11377631319792808</v>
      </c>
      <c r="G14">
        <f t="shared" si="1"/>
        <v>9.2931238292210533E-3</v>
      </c>
      <c r="H14">
        <f t="shared" si="2"/>
        <v>-0.40895432882915517</v>
      </c>
      <c r="I14">
        <f t="shared" si="3"/>
        <v>-4.3240269342311225E-4</v>
      </c>
    </row>
    <row r="15" spans="1:9">
      <c r="D15">
        <f t="shared" si="6"/>
        <v>0.183434642495649</v>
      </c>
      <c r="E15">
        <v>0.79666647741362595</v>
      </c>
      <c r="F15">
        <f t="shared" si="5"/>
        <v>8.0653994927143549E-2</v>
      </c>
      <c r="G15">
        <f t="shared" si="1"/>
        <v>2.1355797856751537E-2</v>
      </c>
      <c r="H15">
        <f t="shared" si="2"/>
        <v>-0.40895432882915517</v>
      </c>
      <c r="I15">
        <f t="shared" si="3"/>
        <v>-7.0439537309583355E-4</v>
      </c>
    </row>
    <row r="16" spans="1:9">
      <c r="D16">
        <f t="shared" si="6"/>
        <v>0.183434642495649</v>
      </c>
      <c r="E16">
        <v>-0.79666647741362595</v>
      </c>
      <c r="F16">
        <f t="shared" si="5"/>
        <v>8.0653994927143549E-2</v>
      </c>
      <c r="G16">
        <f t="shared" si="1"/>
        <v>2.1355797856751537E-2</v>
      </c>
      <c r="H16">
        <f t="shared" si="2"/>
        <v>-0.40895432882915517</v>
      </c>
      <c r="I16">
        <f t="shared" si="3"/>
        <v>-7.0439537309583355E-4</v>
      </c>
    </row>
    <row r="17" spans="4:9">
      <c r="D17">
        <f t="shared" si="6"/>
        <v>0.183434642495649</v>
      </c>
      <c r="E17">
        <v>0.96028985649753595</v>
      </c>
      <c r="F17">
        <f t="shared" si="5"/>
        <v>3.671394852764738E-2</v>
      </c>
      <c r="G17">
        <f t="shared" si="1"/>
        <v>3.1028972762763469E-2</v>
      </c>
      <c r="H17">
        <f t="shared" si="2"/>
        <v>-0.40895432882915517</v>
      </c>
      <c r="I17">
        <f t="shared" si="3"/>
        <v>-4.6587918011093473E-4</v>
      </c>
    </row>
    <row r="18" spans="4:9">
      <c r="D18">
        <f t="shared" si="6"/>
        <v>0.183434642495649</v>
      </c>
      <c r="E18">
        <v>-0.96028985649753595</v>
      </c>
      <c r="F18">
        <f t="shared" si="5"/>
        <v>3.671394852764738E-2</v>
      </c>
      <c r="G18">
        <f t="shared" si="1"/>
        <v>3.1028972762763469E-2</v>
      </c>
      <c r="H18">
        <f t="shared" si="2"/>
        <v>-0.40895432882915517</v>
      </c>
      <c r="I18">
        <f t="shared" si="3"/>
        <v>-4.6587918011093473E-4</v>
      </c>
    </row>
    <row r="19" spans="4:9">
      <c r="D19">
        <f>$A$5</f>
        <v>0.52553240991632899</v>
      </c>
      <c r="E19">
        <v>-0.183434642495649</v>
      </c>
      <c r="F19">
        <f>B$5*B3</f>
        <v>0.11377631319792808</v>
      </c>
      <c r="G19">
        <f t="shared" si="1"/>
        <v>9.2931238292210533E-3</v>
      </c>
      <c r="H19">
        <f t="shared" si="2"/>
        <v>1.0902887881802339</v>
      </c>
      <c r="I19">
        <f t="shared" si="3"/>
        <v>1.1528030769790548E-3</v>
      </c>
    </row>
    <row r="20" spans="4:9">
      <c r="D20">
        <f t="shared" si="6"/>
        <v>0.52553240991632899</v>
      </c>
      <c r="E20">
        <v>0.183434642495649</v>
      </c>
      <c r="F20">
        <f t="shared" ref="F20:F26" si="7">B$5*B4</f>
        <v>0.11377631319792808</v>
      </c>
      <c r="G20">
        <f t="shared" si="1"/>
        <v>9.2931238292210533E-3</v>
      </c>
      <c r="H20">
        <f t="shared" si="2"/>
        <v>1.0902887881802339</v>
      </c>
      <c r="I20">
        <f t="shared" si="3"/>
        <v>1.1528030769790548E-3</v>
      </c>
    </row>
    <row r="21" spans="4:9">
      <c r="D21">
        <f t="shared" si="6"/>
        <v>0.52553240991632899</v>
      </c>
      <c r="E21">
        <v>0.52553240991632899</v>
      </c>
      <c r="F21">
        <f t="shared" si="7"/>
        <v>9.8411859667953988E-2</v>
      </c>
      <c r="G21">
        <f t="shared" si="1"/>
        <v>7.6277775229203953E-2</v>
      </c>
      <c r="H21">
        <f t="shared" si="2"/>
        <v>1.0902887881802339</v>
      </c>
      <c r="I21">
        <f t="shared" si="3"/>
        <v>8.1844029339321906E-3</v>
      </c>
    </row>
    <row r="22" spans="4:9">
      <c r="D22">
        <f t="shared" si="6"/>
        <v>0.52553240991632899</v>
      </c>
      <c r="E22">
        <v>-0.52553240991632899</v>
      </c>
      <c r="F22">
        <f t="shared" si="7"/>
        <v>9.8411859667953988E-2</v>
      </c>
      <c r="G22">
        <f t="shared" si="1"/>
        <v>7.6277775229203953E-2</v>
      </c>
      <c r="H22">
        <f t="shared" si="2"/>
        <v>1.0902887881802339</v>
      </c>
      <c r="I22">
        <f t="shared" si="3"/>
        <v>8.1844029339321906E-3</v>
      </c>
    </row>
    <row r="23" spans="4:9">
      <c r="D23">
        <f t="shared" si="6"/>
        <v>0.52553240991632899</v>
      </c>
      <c r="E23">
        <v>0.79666647741362595</v>
      </c>
      <c r="F23">
        <f t="shared" si="7"/>
        <v>6.9762408425222786E-2</v>
      </c>
      <c r="G23">
        <f t="shared" si="1"/>
        <v>0.17528796330417015</v>
      </c>
      <c r="H23">
        <f t="shared" si="2"/>
        <v>1.0902887881802339</v>
      </c>
      <c r="I23">
        <f t="shared" si="3"/>
        <v>1.3332607881266386E-2</v>
      </c>
    </row>
    <row r="24" spans="4:9">
      <c r="D24">
        <f t="shared" si="6"/>
        <v>0.52553240991632899</v>
      </c>
      <c r="E24">
        <v>-0.79666647741362595</v>
      </c>
      <c r="F24">
        <f t="shared" si="7"/>
        <v>6.9762408425222786E-2</v>
      </c>
      <c r="G24">
        <f t="shared" si="1"/>
        <v>0.17528796330417015</v>
      </c>
      <c r="H24">
        <f t="shared" si="2"/>
        <v>1.0902887881802339</v>
      </c>
      <c r="I24">
        <f t="shared" si="3"/>
        <v>1.3332607881266386E-2</v>
      </c>
    </row>
    <row r="25" spans="4:9">
      <c r="D25">
        <f t="shared" si="6"/>
        <v>0.52553240991632899</v>
      </c>
      <c r="E25">
        <v>0.96028985649753595</v>
      </c>
      <c r="F25">
        <f t="shared" si="7"/>
        <v>3.1756064586781811E-2</v>
      </c>
      <c r="G25">
        <f t="shared" si="1"/>
        <v>0.25468519019933789</v>
      </c>
      <c r="H25">
        <f t="shared" si="2"/>
        <v>1.0902887881802339</v>
      </c>
      <c r="I25">
        <f t="shared" si="3"/>
        <v>8.8180369515571833E-3</v>
      </c>
    </row>
    <row r="26" spans="4:9">
      <c r="D26">
        <f t="shared" si="6"/>
        <v>0.52553240991632899</v>
      </c>
      <c r="E26">
        <v>-0.96028985649753595</v>
      </c>
      <c r="F26">
        <f t="shared" si="7"/>
        <v>3.1756064586781811E-2</v>
      </c>
      <c r="G26">
        <f t="shared" si="1"/>
        <v>0.25468519019933789</v>
      </c>
      <c r="H26">
        <f t="shared" si="2"/>
        <v>1.0902887881802339</v>
      </c>
      <c r="I26">
        <f t="shared" si="3"/>
        <v>8.8180369515571833E-3</v>
      </c>
    </row>
    <row r="27" spans="4:9">
      <c r="D27">
        <f>$A$6</f>
        <v>-0.52553240991632899</v>
      </c>
      <c r="E27">
        <v>-0.183434642495649</v>
      </c>
      <c r="F27">
        <f>B$6*B3</f>
        <v>0.11377631319792808</v>
      </c>
      <c r="G27">
        <f t="shared" si="1"/>
        <v>9.2931238292210533E-3</v>
      </c>
      <c r="H27">
        <f t="shared" si="2"/>
        <v>1.0902887881802339</v>
      </c>
      <c r="I27">
        <f t="shared" si="3"/>
        <v>1.1528030769790548E-3</v>
      </c>
    </row>
    <row r="28" spans="4:9">
      <c r="D28">
        <f t="shared" si="6"/>
        <v>-0.52553240991632899</v>
      </c>
      <c r="E28">
        <v>0.183434642495649</v>
      </c>
      <c r="F28">
        <f t="shared" ref="F28:F34" si="8">B$6*B4</f>
        <v>0.11377631319792808</v>
      </c>
      <c r="G28">
        <f t="shared" si="1"/>
        <v>9.2931238292210533E-3</v>
      </c>
      <c r="H28">
        <f t="shared" si="2"/>
        <v>1.0902887881802339</v>
      </c>
      <c r="I28">
        <f t="shared" si="3"/>
        <v>1.1528030769790548E-3</v>
      </c>
    </row>
    <row r="29" spans="4:9">
      <c r="D29">
        <f t="shared" si="6"/>
        <v>-0.52553240991632899</v>
      </c>
      <c r="E29">
        <v>0.52553240991632899</v>
      </c>
      <c r="F29">
        <f t="shared" si="8"/>
        <v>9.8411859667953988E-2</v>
      </c>
      <c r="G29">
        <f t="shared" si="1"/>
        <v>7.6277775229203953E-2</v>
      </c>
      <c r="H29">
        <f t="shared" si="2"/>
        <v>1.0902887881802339</v>
      </c>
      <c r="I29">
        <f t="shared" si="3"/>
        <v>8.1844029339321906E-3</v>
      </c>
    </row>
    <row r="30" spans="4:9">
      <c r="D30">
        <f t="shared" si="6"/>
        <v>-0.52553240991632899</v>
      </c>
      <c r="E30">
        <v>-0.52553240991632899</v>
      </c>
      <c r="F30">
        <f t="shared" si="8"/>
        <v>9.8411859667953988E-2</v>
      </c>
      <c r="G30">
        <f t="shared" si="1"/>
        <v>7.6277775229203953E-2</v>
      </c>
      <c r="H30">
        <f t="shared" si="2"/>
        <v>1.0902887881802339</v>
      </c>
      <c r="I30">
        <f t="shared" si="3"/>
        <v>8.1844029339321906E-3</v>
      </c>
    </row>
    <row r="31" spans="4:9">
      <c r="D31">
        <f t="shared" si="6"/>
        <v>-0.52553240991632899</v>
      </c>
      <c r="E31">
        <v>0.79666647741362595</v>
      </c>
      <c r="F31">
        <f t="shared" si="8"/>
        <v>6.9762408425222786E-2</v>
      </c>
      <c r="G31">
        <f t="shared" si="1"/>
        <v>0.17528796330417015</v>
      </c>
      <c r="H31">
        <f t="shared" si="2"/>
        <v>1.0902887881802339</v>
      </c>
      <c r="I31">
        <f t="shared" si="3"/>
        <v>1.3332607881266386E-2</v>
      </c>
    </row>
    <row r="32" spans="4:9">
      <c r="D32">
        <f t="shared" si="6"/>
        <v>-0.52553240991632899</v>
      </c>
      <c r="E32">
        <v>-0.79666647741362595</v>
      </c>
      <c r="F32">
        <f t="shared" si="8"/>
        <v>6.9762408425222786E-2</v>
      </c>
      <c r="G32">
        <f t="shared" si="1"/>
        <v>0.17528796330417015</v>
      </c>
      <c r="H32">
        <f t="shared" si="2"/>
        <v>1.0902887881802339</v>
      </c>
      <c r="I32">
        <f t="shared" si="3"/>
        <v>1.3332607881266386E-2</v>
      </c>
    </row>
    <row r="33" spans="4:9">
      <c r="D33">
        <f t="shared" si="6"/>
        <v>-0.52553240991632899</v>
      </c>
      <c r="E33">
        <v>0.96028985649753595</v>
      </c>
      <c r="F33">
        <f t="shared" si="8"/>
        <v>3.1756064586781811E-2</v>
      </c>
      <c r="G33">
        <f t="shared" si="1"/>
        <v>0.25468519019933789</v>
      </c>
      <c r="H33">
        <f t="shared" si="2"/>
        <v>1.0902887881802339</v>
      </c>
      <c r="I33">
        <f t="shared" si="3"/>
        <v>8.8180369515571833E-3</v>
      </c>
    </row>
    <row r="34" spans="4:9">
      <c r="D34">
        <f t="shared" si="6"/>
        <v>-0.52553240991632899</v>
      </c>
      <c r="E34">
        <v>-0.96028985649753595</v>
      </c>
      <c r="F34">
        <f t="shared" si="8"/>
        <v>3.1756064586781811E-2</v>
      </c>
      <c r="G34">
        <f t="shared" si="1"/>
        <v>0.25468519019933789</v>
      </c>
      <c r="H34">
        <f t="shared" si="2"/>
        <v>1.0902887881802339</v>
      </c>
      <c r="I34">
        <f t="shared" si="3"/>
        <v>8.8180369515571833E-3</v>
      </c>
    </row>
    <row r="35" spans="4:9">
      <c r="D35">
        <f>$A$7</f>
        <v>0.79666647741362595</v>
      </c>
      <c r="E35">
        <v>-0.183434642495649</v>
      </c>
      <c r="F35">
        <f>B$7*B3</f>
        <v>8.0653994927143549E-2</v>
      </c>
      <c r="G35">
        <f t="shared" si="1"/>
        <v>2.1355797856751537E-2</v>
      </c>
      <c r="H35">
        <f t="shared" si="2"/>
        <v>-1.3946197161234215</v>
      </c>
      <c r="I35">
        <f t="shared" si="3"/>
        <v>-2.4021354122307271E-3</v>
      </c>
    </row>
    <row r="36" spans="4:9">
      <c r="D36">
        <f t="shared" si="6"/>
        <v>0.79666647741362595</v>
      </c>
      <c r="E36">
        <v>0.183434642495649</v>
      </c>
      <c r="F36">
        <f t="shared" ref="F36:F42" si="9">B$7*B4</f>
        <v>8.0653994927143549E-2</v>
      </c>
      <c r="G36">
        <f t="shared" si="1"/>
        <v>2.1355797856751537E-2</v>
      </c>
      <c r="H36">
        <f t="shared" si="2"/>
        <v>-1.3946197161234215</v>
      </c>
      <c r="I36">
        <f t="shared" si="3"/>
        <v>-2.4021354122307271E-3</v>
      </c>
    </row>
    <row r="37" spans="4:9">
      <c r="D37">
        <f t="shared" si="6"/>
        <v>0.79666647741362595</v>
      </c>
      <c r="E37">
        <v>0.52553240991632899</v>
      </c>
      <c r="F37">
        <f t="shared" si="9"/>
        <v>6.9762408425222786E-2</v>
      </c>
      <c r="G37">
        <f t="shared" si="1"/>
        <v>0.17528796330417015</v>
      </c>
      <c r="H37">
        <f t="shared" si="2"/>
        <v>-1.3946197161234215</v>
      </c>
      <c r="I37">
        <f t="shared" si="3"/>
        <v>-1.7054121825457944E-2</v>
      </c>
    </row>
    <row r="38" spans="4:9">
      <c r="D38">
        <f t="shared" si="6"/>
        <v>0.79666647741362595</v>
      </c>
      <c r="E38">
        <v>-0.52553240991632899</v>
      </c>
      <c r="F38">
        <f t="shared" si="9"/>
        <v>6.9762408425222786E-2</v>
      </c>
      <c r="G38">
        <f t="shared" si="1"/>
        <v>0.17528796330417015</v>
      </c>
      <c r="H38">
        <f t="shared" si="2"/>
        <v>-1.3946197161234215</v>
      </c>
      <c r="I38">
        <f t="shared" si="3"/>
        <v>-1.7054121825457944E-2</v>
      </c>
    </row>
    <row r="39" spans="4:9">
      <c r="D39">
        <f t="shared" si="6"/>
        <v>0.79666647741362595</v>
      </c>
      <c r="E39">
        <v>0.79666647741362595</v>
      </c>
      <c r="F39">
        <f t="shared" si="9"/>
        <v>4.9453324484552717E-2</v>
      </c>
      <c r="G39">
        <f t="shared" si="1"/>
        <v>0.40281549883956624</v>
      </c>
      <c r="H39">
        <f t="shared" si="2"/>
        <v>-1.3946197161234215</v>
      </c>
      <c r="I39">
        <f t="shared" si="3"/>
        <v>-2.7781613502371277E-2</v>
      </c>
    </row>
    <row r="40" spans="4:9">
      <c r="D40">
        <f t="shared" si="6"/>
        <v>0.79666647741362595</v>
      </c>
      <c r="E40">
        <v>-0.79666647741362595</v>
      </c>
      <c r="F40">
        <f t="shared" si="9"/>
        <v>4.9453324484552717E-2</v>
      </c>
      <c r="G40">
        <f t="shared" si="1"/>
        <v>0.40281549883956624</v>
      </c>
      <c r="H40">
        <f t="shared" si="2"/>
        <v>-1.3946197161234215</v>
      </c>
      <c r="I40">
        <f t="shared" si="3"/>
        <v>-2.7781613502371277E-2</v>
      </c>
    </row>
    <row r="41" spans="4:9">
      <c r="D41">
        <f t="shared" si="6"/>
        <v>0.79666647741362595</v>
      </c>
      <c r="E41">
        <v>0.96028985649753595</v>
      </c>
      <c r="F41">
        <f t="shared" si="9"/>
        <v>2.2511306616454726E-2</v>
      </c>
      <c r="G41">
        <f t="shared" si="1"/>
        <v>0.5852720289708303</v>
      </c>
      <c r="H41">
        <f t="shared" si="2"/>
        <v>-1.3946197161234215</v>
      </c>
      <c r="I41">
        <f t="shared" si="3"/>
        <v>-1.8374446816365894E-2</v>
      </c>
    </row>
    <row r="42" spans="4:9">
      <c r="D42">
        <f t="shared" si="6"/>
        <v>0.79666647741362595</v>
      </c>
      <c r="E42">
        <v>-0.96028985649753595</v>
      </c>
      <c r="F42">
        <f t="shared" si="9"/>
        <v>2.2511306616454726E-2</v>
      </c>
      <c r="G42">
        <f t="shared" si="1"/>
        <v>0.5852720289708303</v>
      </c>
      <c r="H42">
        <f t="shared" si="2"/>
        <v>-1.3946197161234215</v>
      </c>
      <c r="I42">
        <f t="shared" si="3"/>
        <v>-1.8374446816365894E-2</v>
      </c>
    </row>
    <row r="43" spans="4:9">
      <c r="D43">
        <f>$A$8</f>
        <v>-0.79666647741362595</v>
      </c>
      <c r="E43">
        <v>-0.183434642495649</v>
      </c>
      <c r="F43">
        <f>B$8*B3</f>
        <v>8.0653994927143549E-2</v>
      </c>
      <c r="G43">
        <f t="shared" si="1"/>
        <v>2.1355797856751537E-2</v>
      </c>
      <c r="H43">
        <f t="shared" si="2"/>
        <v>-1.3946197161234215</v>
      </c>
      <c r="I43">
        <f t="shared" si="3"/>
        <v>-2.4021354122307271E-3</v>
      </c>
    </row>
    <row r="44" spans="4:9">
      <c r="D44">
        <f t="shared" si="6"/>
        <v>-0.79666647741362595</v>
      </c>
      <c r="E44">
        <v>0.183434642495649</v>
      </c>
      <c r="F44">
        <f t="shared" ref="F44:F50" si="10">B$8*B4</f>
        <v>8.0653994927143549E-2</v>
      </c>
      <c r="G44">
        <f t="shared" si="1"/>
        <v>2.1355797856751537E-2</v>
      </c>
      <c r="H44">
        <f t="shared" si="2"/>
        <v>-1.3946197161234215</v>
      </c>
      <c r="I44">
        <f t="shared" si="3"/>
        <v>-2.4021354122307271E-3</v>
      </c>
    </row>
    <row r="45" spans="4:9">
      <c r="D45">
        <f t="shared" si="6"/>
        <v>-0.79666647741362595</v>
      </c>
      <c r="E45">
        <v>0.52553240991632899</v>
      </c>
      <c r="F45">
        <f t="shared" si="10"/>
        <v>6.9762408425222786E-2</v>
      </c>
      <c r="G45">
        <f t="shared" si="1"/>
        <v>0.17528796330417015</v>
      </c>
      <c r="H45">
        <f t="shared" si="2"/>
        <v>-1.3946197161234215</v>
      </c>
      <c r="I45">
        <f t="shared" si="3"/>
        <v>-1.7054121825457944E-2</v>
      </c>
    </row>
    <row r="46" spans="4:9">
      <c r="D46">
        <f t="shared" si="6"/>
        <v>-0.79666647741362595</v>
      </c>
      <c r="E46">
        <v>-0.52553240991632899</v>
      </c>
      <c r="F46">
        <f t="shared" si="10"/>
        <v>6.9762408425222786E-2</v>
      </c>
      <c r="G46">
        <f t="shared" si="1"/>
        <v>0.17528796330417015</v>
      </c>
      <c r="H46">
        <f t="shared" si="2"/>
        <v>-1.3946197161234215</v>
      </c>
      <c r="I46">
        <f t="shared" si="3"/>
        <v>-1.7054121825457944E-2</v>
      </c>
    </row>
    <row r="47" spans="4:9">
      <c r="D47">
        <f t="shared" si="6"/>
        <v>-0.79666647741362595</v>
      </c>
      <c r="E47">
        <v>0.79666647741362595</v>
      </c>
      <c r="F47">
        <f t="shared" si="10"/>
        <v>4.9453324484552717E-2</v>
      </c>
      <c r="G47">
        <f t="shared" si="1"/>
        <v>0.40281549883956624</v>
      </c>
      <c r="H47">
        <f t="shared" si="2"/>
        <v>-1.3946197161234215</v>
      </c>
      <c r="I47">
        <f t="shared" si="3"/>
        <v>-2.7781613502371277E-2</v>
      </c>
    </row>
    <row r="48" spans="4:9">
      <c r="D48">
        <f t="shared" si="6"/>
        <v>-0.79666647741362595</v>
      </c>
      <c r="E48">
        <v>-0.79666647741362595</v>
      </c>
      <c r="F48">
        <f t="shared" si="10"/>
        <v>4.9453324484552717E-2</v>
      </c>
      <c r="G48">
        <f t="shared" si="1"/>
        <v>0.40281549883956624</v>
      </c>
      <c r="H48">
        <f t="shared" si="2"/>
        <v>-1.3946197161234215</v>
      </c>
      <c r="I48">
        <f t="shared" si="3"/>
        <v>-2.7781613502371277E-2</v>
      </c>
    </row>
    <row r="49" spans="4:9">
      <c r="D49">
        <f t="shared" si="6"/>
        <v>-0.79666647741362595</v>
      </c>
      <c r="E49">
        <v>0.96028985649753595</v>
      </c>
      <c r="F49">
        <f t="shared" si="10"/>
        <v>2.2511306616454726E-2</v>
      </c>
      <c r="G49">
        <f t="shared" si="1"/>
        <v>0.5852720289708303</v>
      </c>
      <c r="H49">
        <f t="shared" si="2"/>
        <v>-1.3946197161234215</v>
      </c>
      <c r="I49">
        <f t="shared" si="3"/>
        <v>-1.8374446816365894E-2</v>
      </c>
    </row>
    <row r="50" spans="4:9">
      <c r="D50">
        <f t="shared" si="6"/>
        <v>-0.79666647741362595</v>
      </c>
      <c r="E50">
        <v>-0.96028985649753595</v>
      </c>
      <c r="F50">
        <f t="shared" si="10"/>
        <v>2.2511306616454726E-2</v>
      </c>
      <c r="G50">
        <f t="shared" si="1"/>
        <v>0.5852720289708303</v>
      </c>
      <c r="H50">
        <f t="shared" si="2"/>
        <v>-1.3946197161234215</v>
      </c>
      <c r="I50">
        <f t="shared" si="3"/>
        <v>-1.8374446816365894E-2</v>
      </c>
    </row>
    <row r="51" spans="4:9">
      <c r="D51">
        <f>$A$9</f>
        <v>0.96028985649753595</v>
      </c>
      <c r="E51">
        <v>-0.183434642495649</v>
      </c>
      <c r="F51">
        <f>B$9*B3</f>
        <v>3.671394852764738E-2</v>
      </c>
      <c r="G51">
        <f t="shared" si="1"/>
        <v>3.1028972762763469E-2</v>
      </c>
      <c r="H51">
        <f t="shared" si="2"/>
        <v>1.1501424779772624</v>
      </c>
      <c r="I51">
        <f t="shared" si="3"/>
        <v>1.3102378355668493E-3</v>
      </c>
    </row>
    <row r="52" spans="4:9">
      <c r="D52">
        <f t="shared" si="6"/>
        <v>0.96028985649753595</v>
      </c>
      <c r="E52">
        <v>0.183434642495649</v>
      </c>
      <c r="F52">
        <f t="shared" ref="F52:F58" si="11">B$9*B4</f>
        <v>3.671394852764738E-2</v>
      </c>
      <c r="G52">
        <f t="shared" si="1"/>
        <v>3.1028972762763469E-2</v>
      </c>
      <c r="H52">
        <f t="shared" si="2"/>
        <v>1.1501424779772624</v>
      </c>
      <c r="I52">
        <f t="shared" si="3"/>
        <v>1.3102378355668493E-3</v>
      </c>
    </row>
    <row r="53" spans="4:9">
      <c r="D53">
        <f t="shared" si="6"/>
        <v>0.96028985649753595</v>
      </c>
      <c r="E53">
        <v>0.52553240991632899</v>
      </c>
      <c r="F53">
        <f t="shared" si="11"/>
        <v>3.1756064586781811E-2</v>
      </c>
      <c r="G53">
        <f t="shared" si="1"/>
        <v>0.25468519019933789</v>
      </c>
      <c r="H53">
        <f t="shared" si="2"/>
        <v>1.1501424779772624</v>
      </c>
      <c r="I53">
        <f t="shared" si="3"/>
        <v>9.3021215849488186E-3</v>
      </c>
    </row>
    <row r="54" spans="4:9">
      <c r="D54">
        <f t="shared" si="6"/>
        <v>0.96028985649753595</v>
      </c>
      <c r="E54">
        <v>-0.52553240991632899</v>
      </c>
      <c r="F54">
        <f t="shared" si="11"/>
        <v>3.1756064586781811E-2</v>
      </c>
      <c r="G54">
        <f t="shared" si="1"/>
        <v>0.25468519019933789</v>
      </c>
      <c r="H54">
        <f t="shared" si="2"/>
        <v>1.1501424779772624</v>
      </c>
      <c r="I54">
        <f t="shared" si="3"/>
        <v>9.3021215849488186E-3</v>
      </c>
    </row>
    <row r="55" spans="4:9">
      <c r="D55">
        <f t="shared" si="6"/>
        <v>0.96028985649753595</v>
      </c>
      <c r="E55">
        <v>0.79666647741362595</v>
      </c>
      <c r="F55">
        <f t="shared" si="11"/>
        <v>2.2511306616454726E-2</v>
      </c>
      <c r="G55">
        <f t="shared" si="1"/>
        <v>0.5852720289708303</v>
      </c>
      <c r="H55">
        <f t="shared" si="2"/>
        <v>1.1501424779772624</v>
      </c>
      <c r="I55">
        <f t="shared" si="3"/>
        <v>1.5153400994200657E-2</v>
      </c>
    </row>
    <row r="56" spans="4:9">
      <c r="D56">
        <f t="shared" si="6"/>
        <v>0.96028985649753595</v>
      </c>
      <c r="E56">
        <v>-0.79666647741362595</v>
      </c>
      <c r="F56">
        <f t="shared" si="11"/>
        <v>2.2511306616454726E-2</v>
      </c>
      <c r="G56">
        <f t="shared" si="1"/>
        <v>0.5852720289708303</v>
      </c>
      <c r="H56">
        <f t="shared" si="2"/>
        <v>1.1501424779772624</v>
      </c>
      <c r="I56">
        <f t="shared" si="3"/>
        <v>1.5153400994200657E-2</v>
      </c>
    </row>
    <row r="57" spans="4:9">
      <c r="D57">
        <f t="shared" si="6"/>
        <v>0.96028985649753595</v>
      </c>
      <c r="E57">
        <v>0.96028985649753595</v>
      </c>
      <c r="F57">
        <f t="shared" si="11"/>
        <v>1.024721655949197E-2</v>
      </c>
      <c r="G57">
        <f t="shared" si="1"/>
        <v>0.85037281058557501</v>
      </c>
      <c r="H57">
        <f t="shared" si="2"/>
        <v>1.1501424779772624</v>
      </c>
      <c r="I57">
        <f t="shared" si="3"/>
        <v>1.0022289044919596E-2</v>
      </c>
    </row>
    <row r="58" spans="4:9">
      <c r="D58">
        <f t="shared" si="6"/>
        <v>0.96028985649753595</v>
      </c>
      <c r="E58">
        <v>-0.96028985649753595</v>
      </c>
      <c r="F58">
        <f t="shared" si="11"/>
        <v>1.024721655949197E-2</v>
      </c>
      <c r="G58">
        <f t="shared" si="1"/>
        <v>0.85037281058557501</v>
      </c>
      <c r="H58">
        <f t="shared" si="2"/>
        <v>1.1501424779772624</v>
      </c>
      <c r="I58">
        <f t="shared" si="3"/>
        <v>1.0022289044919596E-2</v>
      </c>
    </row>
    <row r="59" spans="4:9">
      <c r="D59">
        <f>$A$10</f>
        <v>-0.96028985649753595</v>
      </c>
      <c r="E59">
        <v>-0.183434642495649</v>
      </c>
      <c r="F59">
        <f>B$10*B3</f>
        <v>3.671394852764738E-2</v>
      </c>
      <c r="G59">
        <f t="shared" si="1"/>
        <v>3.1028972762763469E-2</v>
      </c>
      <c r="H59">
        <f t="shared" si="2"/>
        <v>1.1501424779772624</v>
      </c>
      <c r="I59">
        <f t="shared" si="3"/>
        <v>1.3102378355668493E-3</v>
      </c>
    </row>
    <row r="60" spans="4:9">
      <c r="D60">
        <f t="shared" si="6"/>
        <v>-0.96028985649753595</v>
      </c>
      <c r="E60">
        <v>0.183434642495649</v>
      </c>
      <c r="F60">
        <f t="shared" ref="F60:F66" si="12">B$10*B4</f>
        <v>3.671394852764738E-2</v>
      </c>
      <c r="G60">
        <f t="shared" si="1"/>
        <v>3.1028972762763469E-2</v>
      </c>
      <c r="H60">
        <f t="shared" si="2"/>
        <v>1.1501424779772624</v>
      </c>
      <c r="I60">
        <f t="shared" si="3"/>
        <v>1.3102378355668493E-3</v>
      </c>
    </row>
    <row r="61" spans="4:9">
      <c r="D61">
        <f t="shared" si="6"/>
        <v>-0.96028985649753595</v>
      </c>
      <c r="E61">
        <v>0.52553240991632899</v>
      </c>
      <c r="F61">
        <f t="shared" si="12"/>
        <v>3.1756064586781811E-2</v>
      </c>
      <c r="G61">
        <f t="shared" si="1"/>
        <v>0.25468519019933789</v>
      </c>
      <c r="H61">
        <f t="shared" si="2"/>
        <v>1.1501424779772624</v>
      </c>
      <c r="I61">
        <f t="shared" si="3"/>
        <v>9.3021215849488186E-3</v>
      </c>
    </row>
    <row r="62" spans="4:9">
      <c r="D62">
        <f t="shared" si="6"/>
        <v>-0.96028985649753595</v>
      </c>
      <c r="E62">
        <v>-0.52553240991632899</v>
      </c>
      <c r="F62">
        <f t="shared" si="12"/>
        <v>3.1756064586781811E-2</v>
      </c>
      <c r="G62">
        <f t="shared" si="1"/>
        <v>0.25468519019933789</v>
      </c>
      <c r="H62">
        <f t="shared" si="2"/>
        <v>1.1501424779772624</v>
      </c>
      <c r="I62">
        <f t="shared" si="3"/>
        <v>9.3021215849488186E-3</v>
      </c>
    </row>
    <row r="63" spans="4:9">
      <c r="D63">
        <f t="shared" si="6"/>
        <v>-0.96028985649753595</v>
      </c>
      <c r="E63">
        <v>0.79666647741362595</v>
      </c>
      <c r="F63">
        <f t="shared" si="12"/>
        <v>2.2511306616454726E-2</v>
      </c>
      <c r="G63">
        <f t="shared" si="1"/>
        <v>0.5852720289708303</v>
      </c>
      <c r="H63">
        <f t="shared" si="2"/>
        <v>1.1501424779772624</v>
      </c>
      <c r="I63">
        <f t="shared" si="3"/>
        <v>1.5153400994200657E-2</v>
      </c>
    </row>
    <row r="64" spans="4:9">
      <c r="D64">
        <f t="shared" si="6"/>
        <v>-0.96028985649753595</v>
      </c>
      <c r="E64">
        <v>-0.79666647741362595</v>
      </c>
      <c r="F64">
        <f t="shared" si="12"/>
        <v>2.2511306616454726E-2</v>
      </c>
      <c r="G64">
        <f t="shared" si="1"/>
        <v>0.5852720289708303</v>
      </c>
      <c r="H64">
        <f t="shared" si="2"/>
        <v>1.1501424779772624</v>
      </c>
      <c r="I64">
        <f t="shared" si="3"/>
        <v>1.5153400994200657E-2</v>
      </c>
    </row>
    <row r="65" spans="4:11">
      <c r="D65">
        <f t="shared" si="6"/>
        <v>-0.96028985649753595</v>
      </c>
      <c r="E65">
        <v>0.96028985649753595</v>
      </c>
      <c r="F65">
        <f t="shared" si="12"/>
        <v>1.024721655949197E-2</v>
      </c>
      <c r="G65">
        <f t="shared" si="1"/>
        <v>0.85037281058557501</v>
      </c>
      <c r="H65">
        <f t="shared" si="2"/>
        <v>1.1501424779772624</v>
      </c>
      <c r="I65">
        <f t="shared" si="3"/>
        <v>1.0022289044919596E-2</v>
      </c>
    </row>
    <row r="66" spans="4:11">
      <c r="D66">
        <f t="shared" si="6"/>
        <v>-0.96028985649753595</v>
      </c>
      <c r="E66">
        <v>-0.96028985649753595</v>
      </c>
      <c r="F66">
        <f t="shared" si="12"/>
        <v>1.024721655949197E-2</v>
      </c>
      <c r="G66">
        <f t="shared" si="1"/>
        <v>0.85037281058557501</v>
      </c>
      <c r="H66">
        <f t="shared" si="2"/>
        <v>1.1501424779772624</v>
      </c>
      <c r="I66">
        <f t="shared" si="3"/>
        <v>1.0022289044919596E-2</v>
      </c>
    </row>
    <row r="67" spans="4:11">
      <c r="J67" t="s">
        <v>8</v>
      </c>
      <c r="K67">
        <f>SUM(I3:I66)</f>
        <v>-6.591949208711867E-16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66"/>
  <sheetViews>
    <sheetView topLeftCell="C1" workbookViewId="0">
      <pane ySplit="1" topLeftCell="A2" activePane="bottomLeft" state="frozen"/>
      <selection pane="bottomLeft" activeCell="N66" sqref="N66"/>
    </sheetView>
  </sheetViews>
  <sheetFormatPr baseColWidth="10" defaultColWidth="8.83203125" defaultRowHeight="14" x14ac:dyDescent="0"/>
  <sheetData>
    <row r="1" spans="1:17">
      <c r="A1" t="s">
        <v>13</v>
      </c>
      <c r="B1">
        <v>1</v>
      </c>
      <c r="D1" t="s">
        <v>17</v>
      </c>
      <c r="E1" t="s">
        <v>18</v>
      </c>
      <c r="F1" t="s">
        <v>9</v>
      </c>
      <c r="H1" t="s">
        <v>10</v>
      </c>
      <c r="J1" t="s">
        <v>16</v>
      </c>
      <c r="K1" t="s">
        <v>11</v>
      </c>
      <c r="L1" t="s">
        <v>19</v>
      </c>
      <c r="M1" t="s">
        <v>20</v>
      </c>
      <c r="N1" t="s">
        <v>12</v>
      </c>
      <c r="O1" t="s">
        <v>22</v>
      </c>
    </row>
    <row r="2" spans="1:17">
      <c r="A2" t="s">
        <v>14</v>
      </c>
      <c r="B2" t="s">
        <v>15</v>
      </c>
      <c r="F2" t="s">
        <v>2</v>
      </c>
      <c r="G2" t="s">
        <v>3</v>
      </c>
      <c r="H2" t="s">
        <v>2</v>
      </c>
      <c r="I2" t="s">
        <v>3</v>
      </c>
      <c r="O2">
        <f>N66</f>
        <v>-0.40290604728994411</v>
      </c>
    </row>
    <row r="3" spans="1:17">
      <c r="A3">
        <v>0</v>
      </c>
      <c r="B3">
        <v>2</v>
      </c>
      <c r="D3">
        <v>0</v>
      </c>
      <c r="E3">
        <v>3</v>
      </c>
      <c r="F3">
        <v>0</v>
      </c>
      <c r="G3">
        <f>-G6</f>
        <v>-0.86113631159405202</v>
      </c>
      <c r="H3">
        <f>B3</f>
        <v>2</v>
      </c>
      <c r="I3">
        <v>0.34785484513745302</v>
      </c>
      <c r="J3">
        <v>-1</v>
      </c>
      <c r="K3">
        <f>F3^2*G3^2</f>
        <v>0</v>
      </c>
      <c r="L3">
        <f>Legendre(6,F3)</f>
        <v>-1.1267347735824966</v>
      </c>
      <c r="M3">
        <f>Legendre(0,G3)</f>
        <v>1</v>
      </c>
      <c r="N3">
        <f>PRODUCT(H3:M3)</f>
        <v>0</v>
      </c>
    </row>
    <row r="4" spans="1:17">
      <c r="D4">
        <v>0</v>
      </c>
      <c r="E4">
        <v>3</v>
      </c>
      <c r="F4">
        <v>0</v>
      </c>
      <c r="G4">
        <f>-G5</f>
        <v>-0.33998104358485598</v>
      </c>
      <c r="H4">
        <f>H3</f>
        <v>2</v>
      </c>
      <c r="I4">
        <v>0.65214515486254598</v>
      </c>
      <c r="J4">
        <v>-1</v>
      </c>
      <c r="K4">
        <f t="shared" ref="K4:K28" si="0">F4^2*G4^2</f>
        <v>0</v>
      </c>
      <c r="L4">
        <f t="shared" ref="L4:L65" si="1">Legendre(6,F4)</f>
        <v>-1.1267347735824966</v>
      </c>
      <c r="M4">
        <f t="shared" ref="M4:M65" si="2">Legendre(0,G4)</f>
        <v>1</v>
      </c>
      <c r="N4">
        <f t="shared" ref="N4:N28" si="3">PRODUCT(H4:M4)</f>
        <v>0</v>
      </c>
    </row>
    <row r="5" spans="1:17">
      <c r="A5" t="s">
        <v>13</v>
      </c>
      <c r="B5">
        <v>2</v>
      </c>
      <c r="D5">
        <v>0</v>
      </c>
      <c r="E5">
        <v>3</v>
      </c>
      <c r="F5">
        <v>0</v>
      </c>
      <c r="G5">
        <v>0.33998104358485598</v>
      </c>
      <c r="H5">
        <f t="shared" ref="H5:H6" si="4">H4</f>
        <v>2</v>
      </c>
      <c r="I5">
        <v>0.65214515486254598</v>
      </c>
      <c r="J5">
        <v>-1</v>
      </c>
      <c r="K5">
        <f t="shared" si="0"/>
        <v>0</v>
      </c>
      <c r="L5">
        <f t="shared" si="1"/>
        <v>-1.1267347735824966</v>
      </c>
      <c r="M5">
        <f t="shared" si="2"/>
        <v>1</v>
      </c>
      <c r="N5">
        <f t="shared" si="3"/>
        <v>0</v>
      </c>
      <c r="Q5" t="s">
        <v>23</v>
      </c>
    </row>
    <row r="6" spans="1:17">
      <c r="A6" t="s">
        <v>14</v>
      </c>
      <c r="B6" t="s">
        <v>15</v>
      </c>
      <c r="D6">
        <v>0</v>
      </c>
      <c r="E6">
        <v>3</v>
      </c>
      <c r="F6">
        <v>0</v>
      </c>
      <c r="G6">
        <v>0.86113631159405202</v>
      </c>
      <c r="H6">
        <f t="shared" si="4"/>
        <v>2</v>
      </c>
      <c r="I6">
        <v>0.34785484513745302</v>
      </c>
      <c r="J6">
        <v>-1</v>
      </c>
      <c r="K6">
        <f t="shared" si="0"/>
        <v>0</v>
      </c>
      <c r="L6">
        <f t="shared" si="1"/>
        <v>-1.1267347735824966</v>
      </c>
      <c r="M6">
        <f t="shared" si="2"/>
        <v>1</v>
      </c>
      <c r="N6">
        <f t="shared" si="3"/>
        <v>0</v>
      </c>
    </row>
    <row r="7" spans="1:17">
      <c r="A7">
        <v>0.57735026918962495</v>
      </c>
      <c r="B7">
        <v>1</v>
      </c>
      <c r="D7">
        <v>3</v>
      </c>
      <c r="E7">
        <v>0</v>
      </c>
      <c r="F7">
        <f>-F10</f>
        <v>-0.86113631159405202</v>
      </c>
      <c r="G7">
        <v>0</v>
      </c>
      <c r="H7">
        <v>0.34785484513745302</v>
      </c>
      <c r="I7">
        <f>B3</f>
        <v>2</v>
      </c>
      <c r="J7">
        <v>-1</v>
      </c>
      <c r="K7">
        <f t="shared" si="0"/>
        <v>0</v>
      </c>
      <c r="L7">
        <f t="shared" si="1"/>
        <v>-1.3877601679491591</v>
      </c>
      <c r="M7">
        <f t="shared" si="2"/>
        <v>1</v>
      </c>
      <c r="N7">
        <f t="shared" si="3"/>
        <v>0</v>
      </c>
    </row>
    <row r="8" spans="1:17">
      <c r="A8">
        <f>-A7</f>
        <v>-0.57735026918962495</v>
      </c>
      <c r="B8">
        <v>1</v>
      </c>
      <c r="D8">
        <v>3</v>
      </c>
      <c r="E8">
        <v>0</v>
      </c>
      <c r="F8">
        <f>-F9</f>
        <v>-0.33998104358485598</v>
      </c>
      <c r="G8">
        <v>0</v>
      </c>
      <c r="H8">
        <v>0.65214515486254598</v>
      </c>
      <c r="I8">
        <f>I7</f>
        <v>2</v>
      </c>
      <c r="J8">
        <v>-1</v>
      </c>
      <c r="K8">
        <f t="shared" si="0"/>
        <v>0</v>
      </c>
      <c r="L8">
        <f t="shared" si="1"/>
        <v>0.7402325919474595</v>
      </c>
      <c r="M8">
        <f t="shared" si="2"/>
        <v>1</v>
      </c>
      <c r="N8">
        <f t="shared" si="3"/>
        <v>0</v>
      </c>
    </row>
    <row r="9" spans="1:17">
      <c r="D9">
        <v>3</v>
      </c>
      <c r="E9">
        <v>0</v>
      </c>
      <c r="F9">
        <v>0.33998104358485598</v>
      </c>
      <c r="G9">
        <v>0</v>
      </c>
      <c r="H9">
        <v>0.65214515486254598</v>
      </c>
      <c r="I9">
        <f t="shared" ref="I9:I10" si="5">I8</f>
        <v>2</v>
      </c>
      <c r="J9">
        <v>-1</v>
      </c>
      <c r="K9">
        <f t="shared" si="0"/>
        <v>0</v>
      </c>
      <c r="L9">
        <f t="shared" si="1"/>
        <v>0.7402325919474595</v>
      </c>
      <c r="M9">
        <f t="shared" si="2"/>
        <v>1</v>
      </c>
      <c r="N9">
        <f t="shared" si="3"/>
        <v>0</v>
      </c>
    </row>
    <row r="10" spans="1:17">
      <c r="A10" t="s">
        <v>13</v>
      </c>
      <c r="B10">
        <v>3</v>
      </c>
      <c r="D10">
        <v>3</v>
      </c>
      <c r="E10">
        <v>0</v>
      </c>
      <c r="F10">
        <v>0.86113631159405202</v>
      </c>
      <c r="G10">
        <v>0</v>
      </c>
      <c r="H10">
        <v>0.34785484513745302</v>
      </c>
      <c r="I10">
        <f t="shared" si="5"/>
        <v>2</v>
      </c>
      <c r="J10">
        <v>-1</v>
      </c>
      <c r="K10">
        <f t="shared" si="0"/>
        <v>0</v>
      </c>
      <c r="L10">
        <f t="shared" si="1"/>
        <v>-1.3877601679491591</v>
      </c>
      <c r="M10">
        <f t="shared" si="2"/>
        <v>1</v>
      </c>
      <c r="N10">
        <f t="shared" si="3"/>
        <v>0</v>
      </c>
    </row>
    <row r="11" spans="1:17">
      <c r="A11" t="s">
        <v>14</v>
      </c>
      <c r="B11" t="s">
        <v>15</v>
      </c>
      <c r="D11">
        <v>0</v>
      </c>
      <c r="E11">
        <v>8</v>
      </c>
      <c r="F11">
        <v>0</v>
      </c>
      <c r="G11">
        <f>-G19</f>
        <v>-0.96816023950762597</v>
      </c>
      <c r="H11">
        <v>2</v>
      </c>
      <c r="I11">
        <v>8.1274388361574398E-2</v>
      </c>
      <c r="J11">
        <v>1</v>
      </c>
      <c r="K11">
        <f t="shared" si="0"/>
        <v>0</v>
      </c>
      <c r="L11">
        <f t="shared" si="1"/>
        <v>-1.1267347735824966</v>
      </c>
      <c r="M11">
        <f t="shared" si="2"/>
        <v>1</v>
      </c>
      <c r="N11">
        <f t="shared" si="3"/>
        <v>0</v>
      </c>
    </row>
    <row r="12" spans="1:17">
      <c r="A12">
        <v>0.77459666924148296</v>
      </c>
      <c r="B12">
        <f>5/9</f>
        <v>0.55555555555555558</v>
      </c>
      <c r="D12">
        <v>0</v>
      </c>
      <c r="E12">
        <v>8</v>
      </c>
      <c r="F12">
        <v>0</v>
      </c>
      <c r="G12">
        <f>-G18</f>
        <v>-0.83603110732663499</v>
      </c>
      <c r="H12">
        <v>2</v>
      </c>
      <c r="I12">
        <v>0.18064816069485701</v>
      </c>
      <c r="J12">
        <v>1</v>
      </c>
      <c r="K12">
        <f t="shared" si="0"/>
        <v>0</v>
      </c>
      <c r="L12">
        <f t="shared" si="1"/>
        <v>-1.1267347735824966</v>
      </c>
      <c r="M12">
        <f t="shared" si="2"/>
        <v>1</v>
      </c>
      <c r="N12">
        <f t="shared" si="3"/>
        <v>0</v>
      </c>
    </row>
    <row r="13" spans="1:17">
      <c r="A13">
        <v>0</v>
      </c>
      <c r="B13">
        <f>8/9</f>
        <v>0.88888888888888884</v>
      </c>
      <c r="D13">
        <v>0</v>
      </c>
      <c r="E13">
        <v>8</v>
      </c>
      <c r="F13">
        <v>0</v>
      </c>
      <c r="G13">
        <f>-G17</f>
        <v>-0.61337143270059002</v>
      </c>
      <c r="H13">
        <v>2</v>
      </c>
      <c r="I13">
        <v>0.26061069640293499</v>
      </c>
      <c r="J13">
        <v>1</v>
      </c>
      <c r="K13">
        <f t="shared" si="0"/>
        <v>0</v>
      </c>
      <c r="L13">
        <f t="shared" si="1"/>
        <v>-1.1267347735824966</v>
      </c>
      <c r="M13">
        <f t="shared" si="2"/>
        <v>1</v>
      </c>
      <c r="N13">
        <f t="shared" si="3"/>
        <v>0</v>
      </c>
    </row>
    <row r="14" spans="1:17">
      <c r="A14">
        <f>-A12</f>
        <v>-0.77459666924148296</v>
      </c>
      <c r="B14">
        <f>B12</f>
        <v>0.55555555555555558</v>
      </c>
      <c r="D14">
        <v>0</v>
      </c>
      <c r="E14">
        <v>8</v>
      </c>
      <c r="F14">
        <v>0</v>
      </c>
      <c r="G14">
        <f>-G16</f>
        <v>-0.32425342340380803</v>
      </c>
      <c r="H14">
        <v>2</v>
      </c>
      <c r="I14">
        <v>0.31234707704000197</v>
      </c>
      <c r="J14">
        <v>1</v>
      </c>
      <c r="K14">
        <f t="shared" si="0"/>
        <v>0</v>
      </c>
      <c r="L14">
        <f t="shared" si="1"/>
        <v>-1.1267347735824966</v>
      </c>
      <c r="M14">
        <f t="shared" si="2"/>
        <v>1</v>
      </c>
      <c r="N14">
        <f t="shared" si="3"/>
        <v>0</v>
      </c>
    </row>
    <row r="15" spans="1:17">
      <c r="D15">
        <v>0</v>
      </c>
      <c r="E15">
        <v>8</v>
      </c>
      <c r="F15">
        <v>0</v>
      </c>
      <c r="G15">
        <v>0</v>
      </c>
      <c r="H15">
        <v>2</v>
      </c>
      <c r="I15">
        <v>0.33023935500125901</v>
      </c>
      <c r="J15">
        <v>1</v>
      </c>
      <c r="K15">
        <f t="shared" si="0"/>
        <v>0</v>
      </c>
      <c r="L15">
        <f t="shared" si="1"/>
        <v>-1.1267347735824966</v>
      </c>
      <c r="M15">
        <f t="shared" si="2"/>
        <v>1</v>
      </c>
      <c r="N15">
        <f t="shared" si="3"/>
        <v>0</v>
      </c>
    </row>
    <row r="16" spans="1:17">
      <c r="A16" t="s">
        <v>13</v>
      </c>
      <c r="B16">
        <v>4</v>
      </c>
      <c r="D16">
        <v>0</v>
      </c>
      <c r="E16">
        <v>8</v>
      </c>
      <c r="F16">
        <v>0</v>
      </c>
      <c r="G16">
        <v>0.32425342340380803</v>
      </c>
      <c r="H16">
        <v>2</v>
      </c>
      <c r="I16">
        <v>0.31234707704000197</v>
      </c>
      <c r="J16">
        <v>1</v>
      </c>
      <c r="K16">
        <f t="shared" si="0"/>
        <v>0</v>
      </c>
      <c r="L16">
        <f t="shared" si="1"/>
        <v>-1.1267347735824966</v>
      </c>
      <c r="M16">
        <f t="shared" si="2"/>
        <v>1</v>
      </c>
      <c r="N16">
        <f t="shared" si="3"/>
        <v>0</v>
      </c>
    </row>
    <row r="17" spans="1:14">
      <c r="A17" t="s">
        <v>14</v>
      </c>
      <c r="B17" t="s">
        <v>15</v>
      </c>
      <c r="D17">
        <v>0</v>
      </c>
      <c r="E17">
        <v>8</v>
      </c>
      <c r="F17">
        <v>0</v>
      </c>
      <c r="G17">
        <v>0.61337143270059002</v>
      </c>
      <c r="H17">
        <v>2</v>
      </c>
      <c r="I17">
        <v>0.26061069640293499</v>
      </c>
      <c r="J17">
        <v>1</v>
      </c>
      <c r="K17">
        <f t="shared" si="0"/>
        <v>0</v>
      </c>
      <c r="L17">
        <f t="shared" si="1"/>
        <v>-1.1267347735824966</v>
      </c>
      <c r="M17">
        <f t="shared" si="2"/>
        <v>1</v>
      </c>
      <c r="N17">
        <f t="shared" si="3"/>
        <v>0</v>
      </c>
    </row>
    <row r="18" spans="1:14">
      <c r="A18">
        <f>-A21</f>
        <v>-0.86113631159405202</v>
      </c>
      <c r="B18">
        <v>0.34785484513745302</v>
      </c>
      <c r="D18">
        <v>0</v>
      </c>
      <c r="E18">
        <v>8</v>
      </c>
      <c r="F18">
        <v>0</v>
      </c>
      <c r="G18">
        <v>0.83603110732663499</v>
      </c>
      <c r="H18">
        <v>2</v>
      </c>
      <c r="I18">
        <v>0.18064816069485701</v>
      </c>
      <c r="J18">
        <v>1</v>
      </c>
      <c r="K18">
        <f t="shared" si="0"/>
        <v>0</v>
      </c>
      <c r="L18">
        <f t="shared" si="1"/>
        <v>-1.1267347735824966</v>
      </c>
      <c r="M18">
        <f t="shared" si="2"/>
        <v>1</v>
      </c>
      <c r="N18">
        <f t="shared" si="3"/>
        <v>0</v>
      </c>
    </row>
    <row r="19" spans="1:14">
      <c r="A19">
        <f>-A20</f>
        <v>-0.33998104358485598</v>
      </c>
      <c r="B19">
        <v>0.65214515486254598</v>
      </c>
      <c r="D19">
        <v>0</v>
      </c>
      <c r="E19">
        <v>8</v>
      </c>
      <c r="F19">
        <v>0</v>
      </c>
      <c r="G19">
        <v>0.96816023950762597</v>
      </c>
      <c r="H19">
        <v>2</v>
      </c>
      <c r="I19">
        <v>8.1274388361574398E-2</v>
      </c>
      <c r="J19">
        <v>1</v>
      </c>
      <c r="K19">
        <f t="shared" si="0"/>
        <v>0</v>
      </c>
      <c r="L19">
        <f t="shared" si="1"/>
        <v>-1.1267347735824966</v>
      </c>
      <c r="M19">
        <f t="shared" si="2"/>
        <v>1</v>
      </c>
      <c r="N19">
        <f t="shared" si="3"/>
        <v>0</v>
      </c>
    </row>
    <row r="20" spans="1:14">
      <c r="A20">
        <v>0.33998104358485598</v>
      </c>
      <c r="B20">
        <v>0.65214515486254598</v>
      </c>
      <c r="D20">
        <v>8</v>
      </c>
      <c r="E20">
        <v>0</v>
      </c>
      <c r="F20">
        <f>-F28</f>
        <v>-0.96816023950762597</v>
      </c>
      <c r="G20">
        <v>0</v>
      </c>
      <c r="H20">
        <v>8.1274388361574398E-2</v>
      </c>
      <c r="I20">
        <v>2</v>
      </c>
      <c r="J20">
        <v>1</v>
      </c>
      <c r="K20">
        <f t="shared" si="0"/>
        <v>0</v>
      </c>
      <c r="L20">
        <f t="shared" si="1"/>
        <v>1.554829116469743</v>
      </c>
      <c r="M20">
        <f t="shared" si="2"/>
        <v>1</v>
      </c>
      <c r="N20">
        <f t="shared" si="3"/>
        <v>0</v>
      </c>
    </row>
    <row r="21" spans="1:14">
      <c r="A21">
        <v>0.86113631159405202</v>
      </c>
      <c r="B21">
        <v>0.34785484513745302</v>
      </c>
      <c r="D21">
        <v>8</v>
      </c>
      <c r="E21">
        <v>0</v>
      </c>
      <c r="F21">
        <f>-F27</f>
        <v>-0.83603110732663499</v>
      </c>
      <c r="G21">
        <v>0</v>
      </c>
      <c r="H21">
        <v>0.18064816069485701</v>
      </c>
      <c r="I21">
        <v>2</v>
      </c>
      <c r="J21">
        <v>1</v>
      </c>
      <c r="K21">
        <f t="shared" si="0"/>
        <v>0</v>
      </c>
      <c r="L21">
        <f t="shared" si="1"/>
        <v>-1.4919247513676013</v>
      </c>
      <c r="M21">
        <f t="shared" si="2"/>
        <v>1</v>
      </c>
      <c r="N21">
        <f t="shared" si="3"/>
        <v>0</v>
      </c>
    </row>
    <row r="22" spans="1:14">
      <c r="D22">
        <v>8</v>
      </c>
      <c r="E22">
        <v>0</v>
      </c>
      <c r="F22">
        <f>-F26</f>
        <v>-0.61337143270059002</v>
      </c>
      <c r="G22">
        <v>0</v>
      </c>
      <c r="H22">
        <v>0.26061069640293499</v>
      </c>
      <c r="I22">
        <v>2</v>
      </c>
      <c r="J22">
        <v>1</v>
      </c>
      <c r="K22">
        <f t="shared" si="0"/>
        <v>0</v>
      </c>
      <c r="L22">
        <f t="shared" si="1"/>
        <v>0.49988684111044901</v>
      </c>
      <c r="M22">
        <f t="shared" si="2"/>
        <v>1</v>
      </c>
      <c r="N22">
        <f t="shared" si="3"/>
        <v>0</v>
      </c>
    </row>
    <row r="23" spans="1:14">
      <c r="A23" t="s">
        <v>13</v>
      </c>
      <c r="B23">
        <v>9</v>
      </c>
      <c r="D23">
        <v>8</v>
      </c>
      <c r="E23">
        <v>0</v>
      </c>
      <c r="F23">
        <f>-F25</f>
        <v>-0.32425342340380803</v>
      </c>
      <c r="G23">
        <v>0</v>
      </c>
      <c r="H23">
        <v>0.31234707704000197</v>
      </c>
      <c r="I23">
        <v>2</v>
      </c>
      <c r="J23">
        <v>1</v>
      </c>
      <c r="K23">
        <f t="shared" si="0"/>
        <v>0</v>
      </c>
      <c r="L23">
        <f t="shared" si="1"/>
        <v>0.63684252570929534</v>
      </c>
      <c r="M23">
        <f t="shared" si="2"/>
        <v>1</v>
      </c>
      <c r="N23">
        <f t="shared" si="3"/>
        <v>0</v>
      </c>
    </row>
    <row r="24" spans="1:14">
      <c r="A24" t="s">
        <v>14</v>
      </c>
      <c r="B24" t="s">
        <v>15</v>
      </c>
      <c r="D24">
        <v>8</v>
      </c>
      <c r="E24">
        <v>0</v>
      </c>
      <c r="F24">
        <v>0</v>
      </c>
      <c r="G24">
        <v>0</v>
      </c>
      <c r="H24">
        <v>0.33023935500125901</v>
      </c>
      <c r="I24">
        <v>2</v>
      </c>
      <c r="J24">
        <v>1</v>
      </c>
      <c r="K24">
        <f t="shared" si="0"/>
        <v>0</v>
      </c>
      <c r="L24">
        <f t="shared" si="1"/>
        <v>-1.1267347735824966</v>
      </c>
      <c r="M24">
        <f t="shared" si="2"/>
        <v>1</v>
      </c>
      <c r="N24">
        <f t="shared" si="3"/>
        <v>0</v>
      </c>
    </row>
    <row r="25" spans="1:14">
      <c r="A25">
        <f>-A33</f>
        <v>-0.96816023950762597</v>
      </c>
      <c r="B25">
        <v>8.1274388361574398E-2</v>
      </c>
      <c r="D25">
        <v>8</v>
      </c>
      <c r="E25">
        <v>0</v>
      </c>
      <c r="F25">
        <v>0.32425342340380803</v>
      </c>
      <c r="G25">
        <v>0</v>
      </c>
      <c r="H25">
        <v>0.31234707704000197</v>
      </c>
      <c r="I25">
        <v>2</v>
      </c>
      <c r="J25">
        <v>1</v>
      </c>
      <c r="K25">
        <f t="shared" si="0"/>
        <v>0</v>
      </c>
      <c r="L25">
        <f t="shared" si="1"/>
        <v>0.63684252570929534</v>
      </c>
      <c r="M25">
        <f t="shared" si="2"/>
        <v>1</v>
      </c>
      <c r="N25">
        <f t="shared" si="3"/>
        <v>0</v>
      </c>
    </row>
    <row r="26" spans="1:14">
      <c r="A26">
        <f>-A32</f>
        <v>-0.83603110732663499</v>
      </c>
      <c r="B26">
        <v>0.18064816069485701</v>
      </c>
      <c r="D26">
        <v>8</v>
      </c>
      <c r="E26">
        <v>0</v>
      </c>
      <c r="F26">
        <v>0.61337143270059002</v>
      </c>
      <c r="G26">
        <v>0</v>
      </c>
      <c r="H26">
        <v>0.26061069640293499</v>
      </c>
      <c r="I26">
        <v>2</v>
      </c>
      <c r="J26">
        <v>1</v>
      </c>
      <c r="K26">
        <f t="shared" si="0"/>
        <v>0</v>
      </c>
      <c r="L26">
        <f t="shared" si="1"/>
        <v>0.49988684111044901</v>
      </c>
      <c r="M26">
        <f t="shared" si="2"/>
        <v>1</v>
      </c>
      <c r="N26">
        <f t="shared" si="3"/>
        <v>0</v>
      </c>
    </row>
    <row r="27" spans="1:14">
      <c r="A27">
        <f>-A31</f>
        <v>-0.61337143270059002</v>
      </c>
      <c r="B27">
        <v>0.26061069640293499</v>
      </c>
      <c r="D27">
        <v>8</v>
      </c>
      <c r="E27">
        <v>0</v>
      </c>
      <c r="F27">
        <v>0.83603110732663499</v>
      </c>
      <c r="G27">
        <v>0</v>
      </c>
      <c r="H27">
        <v>0.18064816069485701</v>
      </c>
      <c r="I27">
        <v>2</v>
      </c>
      <c r="J27">
        <v>1</v>
      </c>
      <c r="K27">
        <f t="shared" si="0"/>
        <v>0</v>
      </c>
      <c r="L27">
        <f t="shared" si="1"/>
        <v>-1.4919247513676013</v>
      </c>
      <c r="M27">
        <f t="shared" si="2"/>
        <v>1</v>
      </c>
      <c r="N27">
        <f t="shared" si="3"/>
        <v>0</v>
      </c>
    </row>
    <row r="28" spans="1:14">
      <c r="A28">
        <f>-A30</f>
        <v>-0.32425342340380803</v>
      </c>
      <c r="B28">
        <v>0.31234707704000197</v>
      </c>
      <c r="D28">
        <v>8</v>
      </c>
      <c r="E28">
        <v>0</v>
      </c>
      <c r="F28">
        <v>0.96816023950762597</v>
      </c>
      <c r="G28">
        <v>0</v>
      </c>
      <c r="H28">
        <v>8.1274388361574398E-2</v>
      </c>
      <c r="I28">
        <v>2</v>
      </c>
      <c r="J28">
        <v>1</v>
      </c>
      <c r="K28">
        <f t="shared" si="0"/>
        <v>0</v>
      </c>
      <c r="L28">
        <f t="shared" si="1"/>
        <v>1.554829116469743</v>
      </c>
      <c r="M28">
        <f t="shared" si="2"/>
        <v>1</v>
      </c>
      <c r="N28">
        <f t="shared" si="3"/>
        <v>0</v>
      </c>
    </row>
    <row r="29" spans="1:14">
      <c r="A29">
        <v>0</v>
      </c>
      <c r="B29">
        <v>0.33023935500125901</v>
      </c>
      <c r="D29">
        <v>1</v>
      </c>
      <c r="E29">
        <v>2</v>
      </c>
      <c r="F29">
        <v>-0.57735026918962495</v>
      </c>
      <c r="G29">
        <v>0.77459666924148296</v>
      </c>
      <c r="H29">
        <v>1</v>
      </c>
      <c r="I29">
        <f>5/9</f>
        <v>0.55555555555555558</v>
      </c>
      <c r="J29">
        <v>-1</v>
      </c>
      <c r="K29">
        <f t="shared" ref="K29:K34" si="6">F29^2*G29^2</f>
        <v>0.19999999999999921</v>
      </c>
      <c r="L29">
        <f t="shared" si="1"/>
        <v>0.80123361676978133</v>
      </c>
      <c r="M29">
        <f t="shared" si="2"/>
        <v>1</v>
      </c>
      <c r="N29">
        <f t="shared" ref="N29:N34" si="7">PRODUCT(H29:M29)</f>
        <v>-8.9025957418864238E-2</v>
      </c>
    </row>
    <row r="30" spans="1:14">
      <c r="A30">
        <v>0.32425342340380803</v>
      </c>
      <c r="B30">
        <v>0.31234707704000197</v>
      </c>
      <c r="D30">
        <v>1</v>
      </c>
      <c r="E30">
        <v>2</v>
      </c>
      <c r="F30">
        <v>-0.57735026918962495</v>
      </c>
      <c r="G30">
        <v>0</v>
      </c>
      <c r="H30">
        <v>1</v>
      </c>
      <c r="I30">
        <f>8/9</f>
        <v>0.88888888888888884</v>
      </c>
      <c r="J30">
        <v>-1</v>
      </c>
      <c r="K30">
        <f t="shared" si="6"/>
        <v>0</v>
      </c>
      <c r="L30">
        <f t="shared" si="1"/>
        <v>0.80123361676978133</v>
      </c>
      <c r="M30">
        <f t="shared" si="2"/>
        <v>1</v>
      </c>
      <c r="N30">
        <f t="shared" si="7"/>
        <v>0</v>
      </c>
    </row>
    <row r="31" spans="1:14">
      <c r="A31">
        <v>0.61337143270059002</v>
      </c>
      <c r="B31">
        <v>0.26061069640293499</v>
      </c>
      <c r="D31">
        <v>1</v>
      </c>
      <c r="E31">
        <v>2</v>
      </c>
      <c r="F31">
        <v>-0.57735026918962495</v>
      </c>
      <c r="G31">
        <f>-G29</f>
        <v>-0.77459666924148296</v>
      </c>
      <c r="H31">
        <v>1</v>
      </c>
      <c r="I31">
        <f>I29</f>
        <v>0.55555555555555558</v>
      </c>
      <c r="J31">
        <v>-1</v>
      </c>
      <c r="K31">
        <f t="shared" si="6"/>
        <v>0.19999999999999921</v>
      </c>
      <c r="L31">
        <f t="shared" si="1"/>
        <v>0.80123361676978133</v>
      </c>
      <c r="M31">
        <f t="shared" si="2"/>
        <v>1</v>
      </c>
      <c r="N31">
        <f t="shared" si="7"/>
        <v>-8.9025957418864238E-2</v>
      </c>
    </row>
    <row r="32" spans="1:14">
      <c r="A32">
        <v>0.83603110732663499</v>
      </c>
      <c r="B32">
        <v>0.18064816069485701</v>
      </c>
      <c r="D32">
        <v>1</v>
      </c>
      <c r="E32">
        <v>2</v>
      </c>
      <c r="F32">
        <v>0.57735026918962495</v>
      </c>
      <c r="G32">
        <v>0.77459666924148296</v>
      </c>
      <c r="H32">
        <v>1</v>
      </c>
      <c r="I32">
        <f>5/9</f>
        <v>0.55555555555555558</v>
      </c>
      <c r="J32">
        <v>-1</v>
      </c>
      <c r="K32">
        <f t="shared" si="6"/>
        <v>0.19999999999999921</v>
      </c>
      <c r="L32">
        <f t="shared" si="1"/>
        <v>0.80123361676978133</v>
      </c>
      <c r="M32">
        <f t="shared" si="2"/>
        <v>1</v>
      </c>
      <c r="N32">
        <f t="shared" si="7"/>
        <v>-8.9025957418864238E-2</v>
      </c>
    </row>
    <row r="33" spans="1:14">
      <c r="A33">
        <v>0.96816023950762597</v>
      </c>
      <c r="B33">
        <v>8.1274388361574398E-2</v>
      </c>
      <c r="D33">
        <v>1</v>
      </c>
      <c r="E33">
        <v>2</v>
      </c>
      <c r="F33">
        <v>0.57735026918962495</v>
      </c>
      <c r="G33">
        <v>0</v>
      </c>
      <c r="H33">
        <v>1</v>
      </c>
      <c r="I33">
        <f>8/9</f>
        <v>0.88888888888888884</v>
      </c>
      <c r="J33">
        <v>-1</v>
      </c>
      <c r="K33">
        <f t="shared" si="6"/>
        <v>0</v>
      </c>
      <c r="L33">
        <f t="shared" si="1"/>
        <v>0.80123361676978133</v>
      </c>
      <c r="M33">
        <f t="shared" si="2"/>
        <v>1</v>
      </c>
      <c r="N33">
        <f t="shared" si="7"/>
        <v>0</v>
      </c>
    </row>
    <row r="34" spans="1:14">
      <c r="D34">
        <v>1</v>
      </c>
      <c r="E34">
        <v>2</v>
      </c>
      <c r="F34">
        <v>0.57735026918962495</v>
      </c>
      <c r="G34">
        <f>-G32</f>
        <v>-0.77459666924148296</v>
      </c>
      <c r="H34">
        <v>1</v>
      </c>
      <c r="I34">
        <f>I32</f>
        <v>0.55555555555555558</v>
      </c>
      <c r="J34">
        <v>-1</v>
      </c>
      <c r="K34">
        <f t="shared" si="6"/>
        <v>0.19999999999999921</v>
      </c>
      <c r="L34">
        <f t="shared" si="1"/>
        <v>0.80123361676978133</v>
      </c>
      <c r="M34">
        <f t="shared" si="2"/>
        <v>1</v>
      </c>
      <c r="N34">
        <f t="shared" si="7"/>
        <v>-8.9025957418864238E-2</v>
      </c>
    </row>
    <row r="35" spans="1:14">
      <c r="D35">
        <v>2</v>
      </c>
      <c r="E35">
        <v>1</v>
      </c>
      <c r="F35">
        <v>0.77459666924148296</v>
      </c>
      <c r="G35">
        <v>-0.57735026918962495</v>
      </c>
      <c r="H35">
        <f>5/9</f>
        <v>0.55555555555555558</v>
      </c>
      <c r="I35">
        <v>1</v>
      </c>
      <c r="J35">
        <v>-1</v>
      </c>
      <c r="K35">
        <f t="shared" ref="K35:K40" si="8">F35^2*G35^2</f>
        <v>0.19999999999999921</v>
      </c>
      <c r="L35">
        <f t="shared" si="1"/>
        <v>-1.2403096387596086</v>
      </c>
      <c r="M35">
        <f t="shared" si="2"/>
        <v>1</v>
      </c>
      <c r="N35">
        <f t="shared" ref="N35:N40" si="9">PRODUCT(H35:M35)</f>
        <v>0.13781218208440041</v>
      </c>
    </row>
    <row r="36" spans="1:14">
      <c r="D36">
        <v>2</v>
      </c>
      <c r="E36">
        <v>1</v>
      </c>
      <c r="F36">
        <v>0</v>
      </c>
      <c r="G36">
        <v>-0.57735026918962495</v>
      </c>
      <c r="H36">
        <f>8/9</f>
        <v>0.88888888888888884</v>
      </c>
      <c r="I36">
        <v>1</v>
      </c>
      <c r="J36">
        <v>-1</v>
      </c>
      <c r="K36">
        <f t="shared" si="8"/>
        <v>0</v>
      </c>
      <c r="L36">
        <f t="shared" si="1"/>
        <v>-1.1267347735824966</v>
      </c>
      <c r="M36">
        <f t="shared" si="2"/>
        <v>1</v>
      </c>
      <c r="N36">
        <f t="shared" si="9"/>
        <v>0</v>
      </c>
    </row>
    <row r="37" spans="1:14">
      <c r="D37">
        <v>2</v>
      </c>
      <c r="E37">
        <v>1</v>
      </c>
      <c r="F37">
        <f>-F35</f>
        <v>-0.77459666924148296</v>
      </c>
      <c r="G37">
        <v>-0.57735026918962495</v>
      </c>
      <c r="H37">
        <f>H35</f>
        <v>0.55555555555555558</v>
      </c>
      <c r="I37">
        <v>1</v>
      </c>
      <c r="J37">
        <v>-1</v>
      </c>
      <c r="K37">
        <f t="shared" si="8"/>
        <v>0.19999999999999921</v>
      </c>
      <c r="L37">
        <f t="shared" si="1"/>
        <v>-1.2403096387596086</v>
      </c>
      <c r="M37">
        <f t="shared" si="2"/>
        <v>1</v>
      </c>
      <c r="N37">
        <f t="shared" si="9"/>
        <v>0.13781218208440041</v>
      </c>
    </row>
    <row r="38" spans="1:14">
      <c r="D38">
        <v>2</v>
      </c>
      <c r="E38">
        <v>1</v>
      </c>
      <c r="F38">
        <v>0.77459666924148296</v>
      </c>
      <c r="G38">
        <v>0.57735026918962495</v>
      </c>
      <c r="H38">
        <f>5/9</f>
        <v>0.55555555555555558</v>
      </c>
      <c r="I38">
        <v>1</v>
      </c>
      <c r="J38">
        <v>-1</v>
      </c>
      <c r="K38">
        <f t="shared" si="8"/>
        <v>0.19999999999999921</v>
      </c>
      <c r="L38">
        <f t="shared" si="1"/>
        <v>-1.2403096387596086</v>
      </c>
      <c r="M38">
        <f t="shared" si="2"/>
        <v>1</v>
      </c>
      <c r="N38">
        <f t="shared" si="9"/>
        <v>0.13781218208440041</v>
      </c>
    </row>
    <row r="39" spans="1:14">
      <c r="D39">
        <v>2</v>
      </c>
      <c r="E39">
        <v>1</v>
      </c>
      <c r="F39">
        <v>0</v>
      </c>
      <c r="G39">
        <v>0.57735026918962495</v>
      </c>
      <c r="H39">
        <f>8/9</f>
        <v>0.88888888888888884</v>
      </c>
      <c r="I39">
        <v>1</v>
      </c>
      <c r="J39">
        <v>-1</v>
      </c>
      <c r="K39">
        <f t="shared" si="8"/>
        <v>0</v>
      </c>
      <c r="L39">
        <f t="shared" si="1"/>
        <v>-1.1267347735824966</v>
      </c>
      <c r="M39">
        <f t="shared" si="2"/>
        <v>1</v>
      </c>
      <c r="N39">
        <f t="shared" si="9"/>
        <v>0</v>
      </c>
    </row>
    <row r="40" spans="1:14">
      <c r="D40">
        <v>2</v>
      </c>
      <c r="E40">
        <v>1</v>
      </c>
      <c r="F40">
        <f>-F38</f>
        <v>-0.77459666924148296</v>
      </c>
      <c r="G40">
        <v>0.57735026918962495</v>
      </c>
      <c r="H40">
        <f>H38</f>
        <v>0.55555555555555558</v>
      </c>
      <c r="I40">
        <v>1</v>
      </c>
      <c r="J40">
        <v>-1</v>
      </c>
      <c r="K40">
        <f t="shared" si="8"/>
        <v>0.19999999999999921</v>
      </c>
      <c r="L40">
        <f t="shared" si="1"/>
        <v>-1.2403096387596086</v>
      </c>
      <c r="M40">
        <f t="shared" si="2"/>
        <v>1</v>
      </c>
      <c r="N40">
        <f t="shared" si="9"/>
        <v>0.13781218208440041</v>
      </c>
    </row>
    <row r="41" spans="1:14">
      <c r="D41">
        <v>1</v>
      </c>
      <c r="E41">
        <v>3</v>
      </c>
      <c r="F41">
        <v>-0.57735026918962495</v>
      </c>
      <c r="G41">
        <f>-G44</f>
        <v>-0.86113631159405202</v>
      </c>
      <c r="H41">
        <v>1</v>
      </c>
      <c r="I41">
        <v>0.34785484513745302</v>
      </c>
      <c r="J41">
        <v>1</v>
      </c>
      <c r="K41">
        <f t="shared" ref="K41:K56" si="10">F41^2*G41^2</f>
        <v>0.24718524904860206</v>
      </c>
      <c r="L41">
        <f t="shared" si="1"/>
        <v>0.80123361676978133</v>
      </c>
      <c r="M41">
        <f t="shared" si="2"/>
        <v>1</v>
      </c>
      <c r="N41">
        <f t="shared" ref="N41:N56" si="11">PRODUCT(H41:M41)</f>
        <v>6.8893741250335122E-2</v>
      </c>
    </row>
    <row r="42" spans="1:14">
      <c r="D42">
        <v>1</v>
      </c>
      <c r="E42">
        <v>3</v>
      </c>
      <c r="F42">
        <v>-0.57735026918962495</v>
      </c>
      <c r="G42">
        <f>-G43</f>
        <v>-0.33998104358485598</v>
      </c>
      <c r="H42">
        <v>1</v>
      </c>
      <c r="I42">
        <v>0.65214515486254598</v>
      </c>
      <c r="J42">
        <v>1</v>
      </c>
      <c r="K42">
        <f t="shared" si="10"/>
        <v>3.852903666568247E-2</v>
      </c>
      <c r="L42">
        <f t="shared" si="1"/>
        <v>0.80123361676978133</v>
      </c>
      <c r="M42">
        <f t="shared" si="2"/>
        <v>1</v>
      </c>
      <c r="N42">
        <f t="shared" si="11"/>
        <v>2.0132216168528932E-2</v>
      </c>
    </row>
    <row r="43" spans="1:14">
      <c r="D43">
        <v>1</v>
      </c>
      <c r="E43">
        <v>3</v>
      </c>
      <c r="F43">
        <v>-0.57735026918962495</v>
      </c>
      <c r="G43">
        <v>0.33998104358485598</v>
      </c>
      <c r="H43">
        <v>1</v>
      </c>
      <c r="I43">
        <v>0.65214515486254598</v>
      </c>
      <c r="J43">
        <v>1</v>
      </c>
      <c r="K43">
        <f t="shared" si="10"/>
        <v>3.852903666568247E-2</v>
      </c>
      <c r="L43">
        <f t="shared" si="1"/>
        <v>0.80123361676978133</v>
      </c>
      <c r="M43">
        <f t="shared" si="2"/>
        <v>1</v>
      </c>
      <c r="N43">
        <f t="shared" si="11"/>
        <v>2.0132216168528932E-2</v>
      </c>
    </row>
    <row r="44" spans="1:14">
      <c r="D44">
        <v>1</v>
      </c>
      <c r="E44">
        <v>3</v>
      </c>
      <c r="F44">
        <v>-0.57735026918962495</v>
      </c>
      <c r="G44">
        <v>0.86113631159405202</v>
      </c>
      <c r="H44">
        <v>1</v>
      </c>
      <c r="I44">
        <v>0.34785484513745302</v>
      </c>
      <c r="J44">
        <v>1</v>
      </c>
      <c r="K44">
        <f t="shared" si="10"/>
        <v>0.24718524904860206</v>
      </c>
      <c r="L44">
        <f t="shared" si="1"/>
        <v>0.80123361676978133</v>
      </c>
      <c r="M44">
        <f t="shared" si="2"/>
        <v>1</v>
      </c>
      <c r="N44">
        <f t="shared" si="11"/>
        <v>6.8893741250335122E-2</v>
      </c>
    </row>
    <row r="45" spans="1:14">
      <c r="D45">
        <v>1</v>
      </c>
      <c r="E45">
        <v>3</v>
      </c>
      <c r="F45">
        <v>0.57735026918962495</v>
      </c>
      <c r="G45">
        <f>-G48</f>
        <v>-0.86113631159405202</v>
      </c>
      <c r="H45">
        <v>1</v>
      </c>
      <c r="I45">
        <v>0.34785484513745302</v>
      </c>
      <c r="J45">
        <v>1</v>
      </c>
      <c r="K45">
        <f t="shared" si="10"/>
        <v>0.24718524904860206</v>
      </c>
      <c r="L45">
        <f t="shared" si="1"/>
        <v>0.80123361676978133</v>
      </c>
      <c r="M45">
        <f t="shared" si="2"/>
        <v>1</v>
      </c>
      <c r="N45">
        <f t="shared" si="11"/>
        <v>6.8893741250335122E-2</v>
      </c>
    </row>
    <row r="46" spans="1:14">
      <c r="D46">
        <v>1</v>
      </c>
      <c r="E46">
        <v>3</v>
      </c>
      <c r="F46">
        <v>0.57735026918962495</v>
      </c>
      <c r="G46">
        <f>-G47</f>
        <v>-0.33998104358485598</v>
      </c>
      <c r="H46">
        <v>1</v>
      </c>
      <c r="I46">
        <v>0.65214515486254598</v>
      </c>
      <c r="J46">
        <v>1</v>
      </c>
      <c r="K46">
        <f t="shared" si="10"/>
        <v>3.852903666568247E-2</v>
      </c>
      <c r="L46">
        <f t="shared" si="1"/>
        <v>0.80123361676978133</v>
      </c>
      <c r="M46">
        <f t="shared" si="2"/>
        <v>1</v>
      </c>
      <c r="N46">
        <f t="shared" si="11"/>
        <v>2.0132216168528932E-2</v>
      </c>
    </row>
    <row r="47" spans="1:14">
      <c r="D47">
        <v>1</v>
      </c>
      <c r="E47">
        <v>3</v>
      </c>
      <c r="F47">
        <v>0.57735026918962495</v>
      </c>
      <c r="G47">
        <v>0.33998104358485598</v>
      </c>
      <c r="H47">
        <v>1</v>
      </c>
      <c r="I47">
        <v>0.65214515486254598</v>
      </c>
      <c r="J47">
        <v>1</v>
      </c>
      <c r="K47">
        <f t="shared" si="10"/>
        <v>3.852903666568247E-2</v>
      </c>
      <c r="L47">
        <f t="shared" si="1"/>
        <v>0.80123361676978133</v>
      </c>
      <c r="M47">
        <f t="shared" si="2"/>
        <v>1</v>
      </c>
      <c r="N47">
        <f t="shared" si="11"/>
        <v>2.0132216168528932E-2</v>
      </c>
    </row>
    <row r="48" spans="1:14">
      <c r="D48">
        <v>1</v>
      </c>
      <c r="E48">
        <v>3</v>
      </c>
      <c r="F48">
        <v>0.57735026918962495</v>
      </c>
      <c r="G48">
        <v>0.86113631159405202</v>
      </c>
      <c r="H48">
        <v>1</v>
      </c>
      <c r="I48">
        <v>0.34785484513745302</v>
      </c>
      <c r="J48">
        <v>1</v>
      </c>
      <c r="K48">
        <f t="shared" si="10"/>
        <v>0.24718524904860206</v>
      </c>
      <c r="L48">
        <f t="shared" si="1"/>
        <v>0.80123361676978133</v>
      </c>
      <c r="M48">
        <f t="shared" si="2"/>
        <v>1</v>
      </c>
      <c r="N48">
        <f t="shared" si="11"/>
        <v>6.8893741250335122E-2</v>
      </c>
    </row>
    <row r="49" spans="4:14">
      <c r="D49">
        <v>3</v>
      </c>
      <c r="E49">
        <v>1</v>
      </c>
      <c r="F49">
        <f>-F52</f>
        <v>-0.86113631159405202</v>
      </c>
      <c r="G49">
        <v>-0.57735026918962495</v>
      </c>
      <c r="H49">
        <v>0.34785484513745302</v>
      </c>
      <c r="I49">
        <v>1</v>
      </c>
      <c r="J49">
        <v>1</v>
      </c>
      <c r="K49">
        <f t="shared" si="10"/>
        <v>0.24718524904860206</v>
      </c>
      <c r="L49">
        <f t="shared" si="1"/>
        <v>-1.3877601679491591</v>
      </c>
      <c r="M49">
        <f t="shared" si="2"/>
        <v>1</v>
      </c>
      <c r="N49">
        <f t="shared" si="11"/>
        <v>-0.11932598424122542</v>
      </c>
    </row>
    <row r="50" spans="4:14">
      <c r="D50">
        <v>3</v>
      </c>
      <c r="E50">
        <v>1</v>
      </c>
      <c r="F50">
        <f>-F51</f>
        <v>-0.33998104358485598</v>
      </c>
      <c r="G50">
        <v>-0.57735026918962495</v>
      </c>
      <c r="H50">
        <v>0.65214515486254598</v>
      </c>
      <c r="I50">
        <v>1</v>
      </c>
      <c r="J50">
        <v>1</v>
      </c>
      <c r="K50">
        <f t="shared" si="10"/>
        <v>3.852903666568247E-2</v>
      </c>
      <c r="L50">
        <f t="shared" si="1"/>
        <v>0.7402325919474595</v>
      </c>
      <c r="M50">
        <f t="shared" si="2"/>
        <v>1</v>
      </c>
      <c r="N50">
        <f t="shared" si="11"/>
        <v>1.8599472418739851E-2</v>
      </c>
    </row>
    <row r="51" spans="4:14">
      <c r="D51">
        <v>3</v>
      </c>
      <c r="E51">
        <v>1</v>
      </c>
      <c r="F51">
        <v>0.33998104358485598</v>
      </c>
      <c r="G51">
        <v>-0.57735026918962495</v>
      </c>
      <c r="H51">
        <v>0.65214515486254598</v>
      </c>
      <c r="I51">
        <v>1</v>
      </c>
      <c r="J51">
        <v>1</v>
      </c>
      <c r="K51">
        <f t="shared" si="10"/>
        <v>3.852903666568247E-2</v>
      </c>
      <c r="L51">
        <f t="shared" si="1"/>
        <v>0.7402325919474595</v>
      </c>
      <c r="M51">
        <f t="shared" si="2"/>
        <v>1</v>
      </c>
      <c r="N51">
        <f t="shared" si="11"/>
        <v>1.8599472418739851E-2</v>
      </c>
    </row>
    <row r="52" spans="4:14">
      <c r="D52">
        <v>3</v>
      </c>
      <c r="E52">
        <v>1</v>
      </c>
      <c r="F52">
        <v>0.86113631159405202</v>
      </c>
      <c r="G52">
        <v>-0.57735026918962495</v>
      </c>
      <c r="H52">
        <v>0.34785484513745302</v>
      </c>
      <c r="I52">
        <v>1</v>
      </c>
      <c r="J52">
        <v>1</v>
      </c>
      <c r="K52">
        <f t="shared" si="10"/>
        <v>0.24718524904860206</v>
      </c>
      <c r="L52">
        <f t="shared" si="1"/>
        <v>-1.3877601679491591</v>
      </c>
      <c r="M52">
        <f t="shared" si="2"/>
        <v>1</v>
      </c>
      <c r="N52">
        <f t="shared" si="11"/>
        <v>-0.11932598424122542</v>
      </c>
    </row>
    <row r="53" spans="4:14">
      <c r="D53">
        <v>3</v>
      </c>
      <c r="E53">
        <v>1</v>
      </c>
      <c r="F53">
        <f>-F56</f>
        <v>-0.86113631159405202</v>
      </c>
      <c r="G53">
        <v>0.57735026918962495</v>
      </c>
      <c r="H53">
        <v>0.34785484513745302</v>
      </c>
      <c r="I53">
        <v>1</v>
      </c>
      <c r="J53">
        <v>1</v>
      </c>
      <c r="K53">
        <f t="shared" si="10"/>
        <v>0.24718524904860206</v>
      </c>
      <c r="L53">
        <f t="shared" si="1"/>
        <v>-1.3877601679491591</v>
      </c>
      <c r="M53">
        <f t="shared" si="2"/>
        <v>1</v>
      </c>
      <c r="N53">
        <f t="shared" si="11"/>
        <v>-0.11932598424122542</v>
      </c>
    </row>
    <row r="54" spans="4:14">
      <c r="D54">
        <v>3</v>
      </c>
      <c r="E54">
        <v>1</v>
      </c>
      <c r="F54">
        <f>-F55</f>
        <v>-0.33998104358485598</v>
      </c>
      <c r="G54">
        <v>0.57735026918962495</v>
      </c>
      <c r="H54">
        <v>0.65214515486254598</v>
      </c>
      <c r="I54">
        <v>1</v>
      </c>
      <c r="J54">
        <v>1</v>
      </c>
      <c r="K54">
        <f t="shared" si="10"/>
        <v>3.852903666568247E-2</v>
      </c>
      <c r="L54">
        <f t="shared" si="1"/>
        <v>0.7402325919474595</v>
      </c>
      <c r="M54">
        <f t="shared" si="2"/>
        <v>1</v>
      </c>
      <c r="N54">
        <f t="shared" si="11"/>
        <v>1.8599472418739851E-2</v>
      </c>
    </row>
    <row r="55" spans="4:14">
      <c r="D55">
        <v>3</v>
      </c>
      <c r="E55">
        <v>1</v>
      </c>
      <c r="F55">
        <v>0.33998104358485598</v>
      </c>
      <c r="G55">
        <v>0.57735026918962495</v>
      </c>
      <c r="H55">
        <v>0.65214515486254598</v>
      </c>
      <c r="I55">
        <v>1</v>
      </c>
      <c r="J55">
        <v>1</v>
      </c>
      <c r="K55">
        <f t="shared" si="10"/>
        <v>3.852903666568247E-2</v>
      </c>
      <c r="L55">
        <f t="shared" si="1"/>
        <v>0.7402325919474595</v>
      </c>
      <c r="M55">
        <f t="shared" si="2"/>
        <v>1</v>
      </c>
      <c r="N55">
        <f t="shared" si="11"/>
        <v>1.8599472418739851E-2</v>
      </c>
    </row>
    <row r="56" spans="4:14">
      <c r="D56">
        <v>3</v>
      </c>
      <c r="E56">
        <v>1</v>
      </c>
      <c r="F56">
        <v>0.86113631159405202</v>
      </c>
      <c r="G56">
        <v>0.57735026918962495</v>
      </c>
      <c r="H56">
        <v>0.34785484513745302</v>
      </c>
      <c r="I56">
        <v>1</v>
      </c>
      <c r="J56">
        <v>1</v>
      </c>
      <c r="K56">
        <f t="shared" si="10"/>
        <v>0.24718524904860206</v>
      </c>
      <c r="L56">
        <f t="shared" si="1"/>
        <v>-1.3877601679491591</v>
      </c>
      <c r="M56">
        <f t="shared" si="2"/>
        <v>1</v>
      </c>
      <c r="N56">
        <f t="shared" si="11"/>
        <v>-0.11932598424122542</v>
      </c>
    </row>
    <row r="57" spans="4:14">
      <c r="D57">
        <v>2</v>
      </c>
      <c r="E57">
        <v>2</v>
      </c>
      <c r="F57">
        <v>-0.77459666924148296</v>
      </c>
      <c r="G57">
        <v>-0.77459666924148296</v>
      </c>
      <c r="H57">
        <f>5/9</f>
        <v>0.55555555555555558</v>
      </c>
      <c r="I57">
        <f>5/9</f>
        <v>0.55555555555555558</v>
      </c>
      <c r="J57">
        <v>1</v>
      </c>
      <c r="K57">
        <f t="shared" ref="K57:K65" si="12">F57^2*G57^2</f>
        <v>0.35999999999999915</v>
      </c>
      <c r="L57">
        <f t="shared" si="1"/>
        <v>-1.2403096387596086</v>
      </c>
      <c r="M57">
        <f t="shared" si="2"/>
        <v>1</v>
      </c>
      <c r="N57">
        <f t="shared" ref="N57:N65" si="13">PRODUCT(H57:M57)</f>
        <v>-0.13781218208440066</v>
      </c>
    </row>
    <row r="58" spans="4:14">
      <c r="D58">
        <v>2</v>
      </c>
      <c r="E58">
        <v>2</v>
      </c>
      <c r="F58">
        <v>-0.77459666924148296</v>
      </c>
      <c r="G58">
        <v>0</v>
      </c>
      <c r="H58">
        <f>8/9</f>
        <v>0.88888888888888884</v>
      </c>
      <c r="I58">
        <f>8/9</f>
        <v>0.88888888888888884</v>
      </c>
      <c r="J58">
        <v>1</v>
      </c>
      <c r="K58">
        <f t="shared" si="12"/>
        <v>0</v>
      </c>
      <c r="L58">
        <f t="shared" si="1"/>
        <v>-1.2403096387596086</v>
      </c>
      <c r="M58">
        <f t="shared" si="2"/>
        <v>1</v>
      </c>
      <c r="N58">
        <f t="shared" si="13"/>
        <v>0</v>
      </c>
    </row>
    <row r="59" spans="4:14">
      <c r="D59">
        <v>2</v>
      </c>
      <c r="E59">
        <v>2</v>
      </c>
      <c r="F59">
        <v>-0.77459666924148296</v>
      </c>
      <c r="G59">
        <v>0.77459666924148296</v>
      </c>
      <c r="H59">
        <f>H57</f>
        <v>0.55555555555555558</v>
      </c>
      <c r="I59">
        <f>I57</f>
        <v>0.55555555555555558</v>
      </c>
      <c r="J59">
        <v>1</v>
      </c>
      <c r="K59">
        <f t="shared" si="12"/>
        <v>0.35999999999999915</v>
      </c>
      <c r="L59">
        <f t="shared" si="1"/>
        <v>-1.2403096387596086</v>
      </c>
      <c r="M59">
        <f t="shared" si="2"/>
        <v>1</v>
      </c>
      <c r="N59">
        <f t="shared" si="13"/>
        <v>-0.13781218208440066</v>
      </c>
    </row>
    <row r="60" spans="4:14">
      <c r="D60">
        <v>2</v>
      </c>
      <c r="E60">
        <v>2</v>
      </c>
      <c r="F60">
        <v>0</v>
      </c>
      <c r="G60">
        <v>-0.77459666924148296</v>
      </c>
      <c r="H60">
        <f>5/9</f>
        <v>0.55555555555555558</v>
      </c>
      <c r="I60">
        <f>5/9</f>
        <v>0.55555555555555558</v>
      </c>
      <c r="J60">
        <v>1</v>
      </c>
      <c r="K60">
        <f t="shared" si="12"/>
        <v>0</v>
      </c>
      <c r="L60">
        <f t="shared" si="1"/>
        <v>-1.1267347735824966</v>
      </c>
      <c r="M60">
        <f t="shared" si="2"/>
        <v>1</v>
      </c>
      <c r="N60">
        <f t="shared" si="13"/>
        <v>0</v>
      </c>
    </row>
    <row r="61" spans="4:14">
      <c r="D61">
        <v>2</v>
      </c>
      <c r="E61">
        <v>2</v>
      </c>
      <c r="F61">
        <v>0</v>
      </c>
      <c r="G61">
        <v>0</v>
      </c>
      <c r="H61">
        <f>8/9</f>
        <v>0.88888888888888884</v>
      </c>
      <c r="I61">
        <f>8/9</f>
        <v>0.88888888888888884</v>
      </c>
      <c r="J61">
        <v>1</v>
      </c>
      <c r="K61">
        <f t="shared" si="12"/>
        <v>0</v>
      </c>
      <c r="L61">
        <f t="shared" si="1"/>
        <v>-1.1267347735824966</v>
      </c>
      <c r="M61">
        <f t="shared" si="2"/>
        <v>1</v>
      </c>
      <c r="N61">
        <f t="shared" si="13"/>
        <v>0</v>
      </c>
    </row>
    <row r="62" spans="4:14">
      <c r="D62">
        <v>2</v>
      </c>
      <c r="E62">
        <v>2</v>
      </c>
      <c r="F62">
        <v>0</v>
      </c>
      <c r="G62">
        <v>0.77459666924148296</v>
      </c>
      <c r="H62">
        <f>H60</f>
        <v>0.55555555555555558</v>
      </c>
      <c r="I62">
        <f>I60</f>
        <v>0.55555555555555558</v>
      </c>
      <c r="J62">
        <v>1</v>
      </c>
      <c r="K62">
        <f t="shared" si="12"/>
        <v>0</v>
      </c>
      <c r="L62">
        <f t="shared" si="1"/>
        <v>-1.1267347735824966</v>
      </c>
      <c r="M62">
        <f t="shared" si="2"/>
        <v>1</v>
      </c>
      <c r="N62">
        <f t="shared" si="13"/>
        <v>0</v>
      </c>
    </row>
    <row r="63" spans="4:14">
      <c r="D63">
        <v>2</v>
      </c>
      <c r="E63">
        <v>2</v>
      </c>
      <c r="F63">
        <v>0.77459666924148296</v>
      </c>
      <c r="G63">
        <v>-0.77459666924148296</v>
      </c>
      <c r="H63">
        <f>5/9</f>
        <v>0.55555555555555558</v>
      </c>
      <c r="I63">
        <f>5/9</f>
        <v>0.55555555555555558</v>
      </c>
      <c r="J63">
        <v>1</v>
      </c>
      <c r="K63">
        <f t="shared" si="12"/>
        <v>0.35999999999999915</v>
      </c>
      <c r="L63">
        <f t="shared" si="1"/>
        <v>-1.2403096387596086</v>
      </c>
      <c r="M63">
        <f t="shared" si="2"/>
        <v>1</v>
      </c>
      <c r="N63">
        <f t="shared" si="13"/>
        <v>-0.13781218208440066</v>
      </c>
    </row>
    <row r="64" spans="4:14">
      <c r="D64">
        <v>2</v>
      </c>
      <c r="E64">
        <v>2</v>
      </c>
      <c r="F64">
        <v>0.77459666924148296</v>
      </c>
      <c r="G64">
        <v>0</v>
      </c>
      <c r="H64">
        <f>8/9</f>
        <v>0.88888888888888884</v>
      </c>
      <c r="I64">
        <f>8/9</f>
        <v>0.88888888888888884</v>
      </c>
      <c r="J64">
        <v>1</v>
      </c>
      <c r="K64">
        <f t="shared" si="12"/>
        <v>0</v>
      </c>
      <c r="L64">
        <f t="shared" si="1"/>
        <v>-1.2403096387596086</v>
      </c>
      <c r="M64">
        <f t="shared" si="2"/>
        <v>1</v>
      </c>
      <c r="N64">
        <f t="shared" si="13"/>
        <v>0</v>
      </c>
    </row>
    <row r="65" spans="4:15">
      <c r="D65">
        <v>2</v>
      </c>
      <c r="E65">
        <v>2</v>
      </c>
      <c r="F65">
        <v>0.77459666924148296</v>
      </c>
      <c r="G65">
        <v>0.77459666924148296</v>
      </c>
      <c r="H65">
        <f>H63</f>
        <v>0.55555555555555558</v>
      </c>
      <c r="I65">
        <f>I63</f>
        <v>0.55555555555555558</v>
      </c>
      <c r="J65">
        <v>1</v>
      </c>
      <c r="K65">
        <f t="shared" si="12"/>
        <v>0.35999999999999915</v>
      </c>
      <c r="L65">
        <f t="shared" si="1"/>
        <v>-1.2403096387596086</v>
      </c>
      <c r="M65">
        <f t="shared" si="2"/>
        <v>1</v>
      </c>
      <c r="N65">
        <f t="shared" si="13"/>
        <v>-0.13781218208440066</v>
      </c>
    </row>
    <row r="66" spans="4:15">
      <c r="N66">
        <f>SUM(N2:N65)</f>
        <v>-0.40290604728994411</v>
      </c>
      <c r="O66" t="s">
        <v>21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P66"/>
  <sheetViews>
    <sheetView workbookViewId="0">
      <pane ySplit="1" topLeftCell="A2" activePane="bottomLeft" state="frozen"/>
      <selection pane="bottomLeft" activeCell="B11" sqref="B11"/>
    </sheetView>
  </sheetViews>
  <sheetFormatPr baseColWidth="10" defaultColWidth="8.83203125" defaultRowHeight="14" x14ac:dyDescent="0"/>
  <sheetData>
    <row r="1" spans="1:15">
      <c r="A1" t="s">
        <v>13</v>
      </c>
      <c r="B1">
        <v>1</v>
      </c>
      <c r="D1" t="s">
        <v>17</v>
      </c>
      <c r="E1" t="s">
        <v>18</v>
      </c>
      <c r="F1" t="s">
        <v>9</v>
      </c>
      <c r="H1" t="s">
        <v>10</v>
      </c>
      <c r="J1" t="s">
        <v>16</v>
      </c>
      <c r="K1" t="s">
        <v>11</v>
      </c>
      <c r="L1" t="s">
        <v>19</v>
      </c>
      <c r="M1" t="s">
        <v>20</v>
      </c>
      <c r="N1" t="s">
        <v>12</v>
      </c>
      <c r="O1" t="s">
        <v>22</v>
      </c>
    </row>
    <row r="2" spans="1:15">
      <c r="A2" t="s">
        <v>14</v>
      </c>
      <c r="B2" t="s">
        <v>15</v>
      </c>
      <c r="F2" t="s">
        <v>2</v>
      </c>
      <c r="G2" t="s">
        <v>3</v>
      </c>
      <c r="H2" t="s">
        <v>2</v>
      </c>
      <c r="I2" t="s">
        <v>3</v>
      </c>
      <c r="O2">
        <f>N66</f>
        <v>0.35555555555555307</v>
      </c>
    </row>
    <row r="3" spans="1:15">
      <c r="A3">
        <v>0</v>
      </c>
      <c r="B3">
        <v>2</v>
      </c>
      <c r="D3">
        <v>0</v>
      </c>
      <c r="E3">
        <v>3</v>
      </c>
      <c r="F3" s="1">
        <v>0</v>
      </c>
      <c r="G3" s="1">
        <f>-G6</f>
        <v>-0.86113631159405202</v>
      </c>
      <c r="H3" s="1">
        <f>B3</f>
        <v>2</v>
      </c>
      <c r="I3" s="1">
        <v>0.34785484513745302</v>
      </c>
      <c r="J3">
        <v>-1</v>
      </c>
      <c r="K3" s="1">
        <f>F3^2*G3^2</f>
        <v>0</v>
      </c>
      <c r="L3" s="1">
        <f>Legendre(2,F3)</f>
        <v>-1.1180339887498949</v>
      </c>
      <c r="M3" s="1">
        <f>Legendre(2,G3)</f>
        <v>1.3692196008356148</v>
      </c>
      <c r="N3" s="1">
        <f>PRODUCT(H3:M3)</f>
        <v>0</v>
      </c>
    </row>
    <row r="4" spans="1:15">
      <c r="D4">
        <v>0</v>
      </c>
      <c r="E4">
        <v>3</v>
      </c>
      <c r="F4" s="1">
        <v>0</v>
      </c>
      <c r="G4" s="1">
        <f>-G5</f>
        <v>-0.33998104358485598</v>
      </c>
      <c r="H4" s="1">
        <f>H3</f>
        <v>2</v>
      </c>
      <c r="I4" s="1">
        <v>0.65214515486254598</v>
      </c>
      <c r="J4">
        <v>-1</v>
      </c>
      <c r="K4" s="1">
        <f t="shared" ref="K4:K65" si="0">F4^2*G4^2</f>
        <v>0</v>
      </c>
      <c r="L4" s="1">
        <f t="shared" ref="L4:L65" si="1">Legendre(2,F4)</f>
        <v>-1.1180339887498949</v>
      </c>
      <c r="M4" s="1">
        <f t="shared" ref="M4:M65" si="2">Legendre(2,G4)</f>
        <v>-0.7303430358356785</v>
      </c>
      <c r="N4" s="1">
        <f t="shared" ref="N4:N65" si="3">PRODUCT(H4:M4)</f>
        <v>0</v>
      </c>
    </row>
    <row r="5" spans="1:15">
      <c r="A5" t="s">
        <v>13</v>
      </c>
      <c r="B5">
        <v>2</v>
      </c>
      <c r="D5">
        <v>0</v>
      </c>
      <c r="E5">
        <v>3</v>
      </c>
      <c r="F5" s="1">
        <v>0</v>
      </c>
      <c r="G5" s="1">
        <v>0.33998104358485598</v>
      </c>
      <c r="H5" s="1">
        <f t="shared" ref="H5:H6" si="4">H4</f>
        <v>2</v>
      </c>
      <c r="I5" s="1">
        <v>0.65214515486254598</v>
      </c>
      <c r="J5">
        <v>-1</v>
      </c>
      <c r="K5" s="1">
        <f t="shared" si="0"/>
        <v>0</v>
      </c>
      <c r="L5" s="1">
        <f t="shared" si="1"/>
        <v>-1.1180339887498949</v>
      </c>
      <c r="M5" s="1">
        <f t="shared" si="2"/>
        <v>-0.7303430358356785</v>
      </c>
      <c r="N5" s="1">
        <f t="shared" si="3"/>
        <v>0</v>
      </c>
    </row>
    <row r="6" spans="1:15">
      <c r="A6" t="s">
        <v>14</v>
      </c>
      <c r="B6" t="s">
        <v>15</v>
      </c>
      <c r="D6">
        <v>0</v>
      </c>
      <c r="E6">
        <v>3</v>
      </c>
      <c r="F6" s="1">
        <v>0</v>
      </c>
      <c r="G6" s="1">
        <v>0.86113631159405202</v>
      </c>
      <c r="H6" s="1">
        <f t="shared" si="4"/>
        <v>2</v>
      </c>
      <c r="I6" s="1">
        <v>0.34785484513745302</v>
      </c>
      <c r="J6">
        <v>-1</v>
      </c>
      <c r="K6" s="1">
        <f t="shared" si="0"/>
        <v>0</v>
      </c>
      <c r="L6" s="1">
        <f t="shared" si="1"/>
        <v>-1.1180339887498949</v>
      </c>
      <c r="M6" s="1">
        <f t="shared" si="2"/>
        <v>1.3692196008356148</v>
      </c>
      <c r="N6" s="1">
        <f t="shared" si="3"/>
        <v>0</v>
      </c>
    </row>
    <row r="7" spans="1:15">
      <c r="A7">
        <v>0.57735026918962495</v>
      </c>
      <c r="B7">
        <v>1</v>
      </c>
      <c r="D7">
        <v>3</v>
      </c>
      <c r="E7">
        <v>0</v>
      </c>
      <c r="F7" s="1">
        <f>-F10</f>
        <v>-0.86113631159405202</v>
      </c>
      <c r="G7" s="1">
        <v>0</v>
      </c>
      <c r="H7" s="1">
        <v>0.34785484513745302</v>
      </c>
      <c r="I7" s="1">
        <f>B3</f>
        <v>2</v>
      </c>
      <c r="J7">
        <v>-1</v>
      </c>
      <c r="K7" s="1">
        <f t="shared" si="0"/>
        <v>0</v>
      </c>
      <c r="L7" s="1">
        <f t="shared" si="1"/>
        <v>1.3692196008356148</v>
      </c>
      <c r="M7" s="1">
        <f t="shared" si="2"/>
        <v>-1.1180339887498949</v>
      </c>
      <c r="N7" s="1">
        <f t="shared" si="3"/>
        <v>0</v>
      </c>
    </row>
    <row r="8" spans="1:15">
      <c r="A8">
        <f>-A7</f>
        <v>-0.57735026918962495</v>
      </c>
      <c r="B8">
        <v>1</v>
      </c>
      <c r="D8">
        <v>3</v>
      </c>
      <c r="E8">
        <v>0</v>
      </c>
      <c r="F8" s="1">
        <f>-F9</f>
        <v>-0.33998104358485598</v>
      </c>
      <c r="G8" s="1">
        <v>0</v>
      </c>
      <c r="H8" s="1">
        <v>0.65214515486254598</v>
      </c>
      <c r="I8" s="1">
        <f>I7</f>
        <v>2</v>
      </c>
      <c r="J8">
        <v>-1</v>
      </c>
      <c r="K8" s="1">
        <f t="shared" si="0"/>
        <v>0</v>
      </c>
      <c r="L8" s="1">
        <f t="shared" si="1"/>
        <v>-0.7303430358356785</v>
      </c>
      <c r="M8" s="1">
        <f t="shared" si="2"/>
        <v>-1.1180339887498949</v>
      </c>
      <c r="N8" s="1">
        <f t="shared" si="3"/>
        <v>0</v>
      </c>
    </row>
    <row r="9" spans="1:15">
      <c r="D9">
        <v>3</v>
      </c>
      <c r="E9">
        <v>0</v>
      </c>
      <c r="F9" s="1">
        <v>0.33998104358485598</v>
      </c>
      <c r="G9" s="1">
        <v>0</v>
      </c>
      <c r="H9" s="1">
        <v>0.65214515486254598</v>
      </c>
      <c r="I9" s="1">
        <f t="shared" ref="I9:I10" si="5">I8</f>
        <v>2</v>
      </c>
      <c r="J9">
        <v>-1</v>
      </c>
      <c r="K9" s="1">
        <f t="shared" si="0"/>
        <v>0</v>
      </c>
      <c r="L9" s="1">
        <f t="shared" si="1"/>
        <v>-0.7303430358356785</v>
      </c>
      <c r="M9" s="1">
        <f t="shared" si="2"/>
        <v>-1.1180339887498949</v>
      </c>
      <c r="N9" s="1">
        <f t="shared" si="3"/>
        <v>0</v>
      </c>
    </row>
    <row r="10" spans="1:15">
      <c r="A10" t="s">
        <v>13</v>
      </c>
      <c r="B10">
        <v>3</v>
      </c>
      <c r="D10">
        <v>3</v>
      </c>
      <c r="E10">
        <v>0</v>
      </c>
      <c r="F10" s="1">
        <v>0.86113631159405202</v>
      </c>
      <c r="G10" s="1">
        <v>0</v>
      </c>
      <c r="H10" s="1">
        <v>0.34785484513745302</v>
      </c>
      <c r="I10" s="1">
        <f t="shared" si="5"/>
        <v>2</v>
      </c>
      <c r="J10">
        <v>-1</v>
      </c>
      <c r="K10" s="1">
        <f t="shared" si="0"/>
        <v>0</v>
      </c>
      <c r="L10" s="1">
        <f t="shared" si="1"/>
        <v>1.3692196008356148</v>
      </c>
      <c r="M10" s="1">
        <f t="shared" si="2"/>
        <v>-1.1180339887498949</v>
      </c>
      <c r="N10" s="1">
        <f t="shared" si="3"/>
        <v>0</v>
      </c>
    </row>
    <row r="11" spans="1:15">
      <c r="A11" t="s">
        <v>14</v>
      </c>
      <c r="B11" t="s">
        <v>15</v>
      </c>
      <c r="D11">
        <v>0</v>
      </c>
      <c r="E11">
        <v>8</v>
      </c>
      <c r="F11" s="1">
        <v>0</v>
      </c>
      <c r="G11" s="1">
        <f>-G19</f>
        <v>-0.96816023950762597</v>
      </c>
      <c r="H11" s="1">
        <v>2</v>
      </c>
      <c r="I11" s="1">
        <v>8.1274388361574398E-2</v>
      </c>
      <c r="J11">
        <v>1</v>
      </c>
      <c r="K11" s="1">
        <f t="shared" si="0"/>
        <v>0</v>
      </c>
      <c r="L11" s="1">
        <f t="shared" si="1"/>
        <v>-1.1180339887498949</v>
      </c>
      <c r="M11" s="1">
        <f t="shared" si="2"/>
        <v>2.0258806600732711</v>
      </c>
      <c r="N11" s="1">
        <f t="shared" si="3"/>
        <v>0</v>
      </c>
    </row>
    <row r="12" spans="1:15">
      <c r="A12">
        <v>0.77459666924148296</v>
      </c>
      <c r="B12">
        <f>5/9</f>
        <v>0.55555555555555558</v>
      </c>
      <c r="D12">
        <v>0</v>
      </c>
      <c r="E12">
        <v>8</v>
      </c>
      <c r="F12" s="1">
        <v>0</v>
      </c>
      <c r="G12" s="1">
        <f>-G18</f>
        <v>-0.83603110732663499</v>
      </c>
      <c r="H12" s="1">
        <v>2</v>
      </c>
      <c r="I12" s="1">
        <v>0.18064816069485701</v>
      </c>
      <c r="J12">
        <v>1</v>
      </c>
      <c r="K12" s="1">
        <f t="shared" si="0"/>
        <v>0</v>
      </c>
      <c r="L12" s="1">
        <f t="shared" si="1"/>
        <v>-1.1180339887498949</v>
      </c>
      <c r="M12" s="1">
        <f t="shared" si="2"/>
        <v>1.2263089140069554</v>
      </c>
      <c r="N12" s="1">
        <f t="shared" si="3"/>
        <v>0</v>
      </c>
    </row>
    <row r="13" spans="1:15">
      <c r="A13">
        <v>0</v>
      </c>
      <c r="B13">
        <f>8/9</f>
        <v>0.88888888888888884</v>
      </c>
      <c r="D13">
        <v>0</v>
      </c>
      <c r="E13">
        <v>8</v>
      </c>
      <c r="F13" s="1">
        <v>0</v>
      </c>
      <c r="G13" s="1">
        <f>-G17</f>
        <v>-0.61337143270059002</v>
      </c>
      <c r="H13" s="1">
        <v>2</v>
      </c>
      <c r="I13" s="1">
        <v>0.26061069640293499</v>
      </c>
      <c r="J13">
        <v>1</v>
      </c>
      <c r="K13" s="1">
        <f t="shared" si="0"/>
        <v>0</v>
      </c>
      <c r="L13" s="1">
        <f t="shared" si="1"/>
        <v>-1.1180339887498949</v>
      </c>
      <c r="M13" s="1">
        <f t="shared" si="2"/>
        <v>0.14386139492883052</v>
      </c>
      <c r="N13" s="1">
        <f t="shared" si="3"/>
        <v>0</v>
      </c>
    </row>
    <row r="14" spans="1:15">
      <c r="A14">
        <f>-A12</f>
        <v>-0.77459666924148296</v>
      </c>
      <c r="B14">
        <f>B12</f>
        <v>0.55555555555555558</v>
      </c>
      <c r="D14">
        <v>0</v>
      </c>
      <c r="E14">
        <v>8</v>
      </c>
      <c r="F14" s="1">
        <v>0</v>
      </c>
      <c r="G14" s="1">
        <f>-G16</f>
        <v>-0.32425342340380803</v>
      </c>
      <c r="H14" s="1">
        <v>2</v>
      </c>
      <c r="I14" s="1">
        <v>0.31234707704000197</v>
      </c>
      <c r="J14">
        <v>1</v>
      </c>
      <c r="K14" s="1">
        <f t="shared" si="0"/>
        <v>0</v>
      </c>
      <c r="L14" s="1">
        <f t="shared" si="1"/>
        <v>-1.1180339887498949</v>
      </c>
      <c r="M14" s="1">
        <f t="shared" si="2"/>
        <v>-0.76538276018578344</v>
      </c>
      <c r="N14" s="1">
        <f t="shared" si="3"/>
        <v>0</v>
      </c>
    </row>
    <row r="15" spans="1:15">
      <c r="D15">
        <v>0</v>
      </c>
      <c r="E15">
        <v>8</v>
      </c>
      <c r="F15" s="1">
        <v>0</v>
      </c>
      <c r="G15" s="1">
        <v>0</v>
      </c>
      <c r="H15" s="1">
        <v>2</v>
      </c>
      <c r="I15" s="1">
        <v>0.33023935500125901</v>
      </c>
      <c r="J15">
        <v>1</v>
      </c>
      <c r="K15" s="1">
        <f t="shared" si="0"/>
        <v>0</v>
      </c>
      <c r="L15" s="1">
        <f t="shared" si="1"/>
        <v>-1.1180339887498949</v>
      </c>
      <c r="M15" s="1">
        <f t="shared" si="2"/>
        <v>-1.1180339887498949</v>
      </c>
      <c r="N15" s="1">
        <f t="shared" si="3"/>
        <v>0</v>
      </c>
    </row>
    <row r="16" spans="1:15">
      <c r="A16" t="s">
        <v>13</v>
      </c>
      <c r="B16">
        <v>4</v>
      </c>
      <c r="D16">
        <v>0</v>
      </c>
      <c r="E16">
        <v>8</v>
      </c>
      <c r="F16" s="1">
        <v>0</v>
      </c>
      <c r="G16" s="1">
        <v>0.32425342340380803</v>
      </c>
      <c r="H16" s="1">
        <v>2</v>
      </c>
      <c r="I16" s="1">
        <v>0.31234707704000197</v>
      </c>
      <c r="J16">
        <v>1</v>
      </c>
      <c r="K16" s="1">
        <f t="shared" si="0"/>
        <v>0</v>
      </c>
      <c r="L16" s="1">
        <f t="shared" si="1"/>
        <v>-1.1180339887498949</v>
      </c>
      <c r="M16" s="1">
        <f t="shared" si="2"/>
        <v>-0.76538276018578344</v>
      </c>
      <c r="N16" s="1">
        <f t="shared" si="3"/>
        <v>0</v>
      </c>
    </row>
    <row r="17" spans="1:14">
      <c r="A17" t="s">
        <v>14</v>
      </c>
      <c r="B17" t="s">
        <v>15</v>
      </c>
      <c r="D17">
        <v>0</v>
      </c>
      <c r="E17">
        <v>8</v>
      </c>
      <c r="F17" s="1">
        <v>0</v>
      </c>
      <c r="G17" s="1">
        <v>0.61337143270059002</v>
      </c>
      <c r="H17" s="1">
        <v>2</v>
      </c>
      <c r="I17" s="1">
        <v>0.26061069640293499</v>
      </c>
      <c r="J17">
        <v>1</v>
      </c>
      <c r="K17" s="1">
        <f t="shared" si="0"/>
        <v>0</v>
      </c>
      <c r="L17" s="1">
        <f t="shared" si="1"/>
        <v>-1.1180339887498949</v>
      </c>
      <c r="M17" s="1">
        <f t="shared" si="2"/>
        <v>0.14386139492883052</v>
      </c>
      <c r="N17" s="1">
        <f t="shared" si="3"/>
        <v>0</v>
      </c>
    </row>
    <row r="18" spans="1:14">
      <c r="A18">
        <f>-A21</f>
        <v>-0.86113631159405202</v>
      </c>
      <c r="B18">
        <v>0.34785484513745302</v>
      </c>
      <c r="D18">
        <v>0</v>
      </c>
      <c r="E18">
        <v>8</v>
      </c>
      <c r="F18" s="1">
        <v>0</v>
      </c>
      <c r="G18" s="1">
        <v>0.83603110732663499</v>
      </c>
      <c r="H18" s="1">
        <v>2</v>
      </c>
      <c r="I18" s="1">
        <v>0.18064816069485701</v>
      </c>
      <c r="J18">
        <v>1</v>
      </c>
      <c r="K18" s="1">
        <f t="shared" si="0"/>
        <v>0</v>
      </c>
      <c r="L18" s="1">
        <f t="shared" si="1"/>
        <v>-1.1180339887498949</v>
      </c>
      <c r="M18" s="1">
        <f t="shared" si="2"/>
        <v>1.2263089140069554</v>
      </c>
      <c r="N18" s="1">
        <f t="shared" si="3"/>
        <v>0</v>
      </c>
    </row>
    <row r="19" spans="1:14">
      <c r="A19">
        <f>-A20</f>
        <v>-0.33998104358485598</v>
      </c>
      <c r="B19">
        <v>0.65214515486254598</v>
      </c>
      <c r="D19">
        <v>0</v>
      </c>
      <c r="E19">
        <v>8</v>
      </c>
      <c r="F19" s="1">
        <v>0</v>
      </c>
      <c r="G19" s="1">
        <v>0.96816023950762597</v>
      </c>
      <c r="H19" s="1">
        <v>2</v>
      </c>
      <c r="I19" s="1">
        <v>8.1274388361574398E-2</v>
      </c>
      <c r="J19">
        <v>1</v>
      </c>
      <c r="K19" s="1">
        <f t="shared" si="0"/>
        <v>0</v>
      </c>
      <c r="L19" s="1">
        <f t="shared" si="1"/>
        <v>-1.1180339887498949</v>
      </c>
      <c r="M19" s="1">
        <f t="shared" si="2"/>
        <v>2.0258806600732711</v>
      </c>
      <c r="N19" s="1">
        <f t="shared" si="3"/>
        <v>0</v>
      </c>
    </row>
    <row r="20" spans="1:14">
      <c r="A20">
        <v>0.33998104358485598</v>
      </c>
      <c r="B20">
        <v>0.65214515486254598</v>
      </c>
      <c r="D20">
        <v>8</v>
      </c>
      <c r="E20">
        <v>0</v>
      </c>
      <c r="F20" s="1">
        <f>-F28</f>
        <v>-0.96816023950762597</v>
      </c>
      <c r="G20" s="1">
        <v>0</v>
      </c>
      <c r="H20" s="1">
        <v>8.1274388361574398E-2</v>
      </c>
      <c r="I20" s="1">
        <v>2</v>
      </c>
      <c r="J20">
        <v>1</v>
      </c>
      <c r="K20" s="1">
        <f t="shared" si="0"/>
        <v>0</v>
      </c>
      <c r="L20" s="1">
        <f t="shared" si="1"/>
        <v>2.0258806600732711</v>
      </c>
      <c r="M20" s="1">
        <f t="shared" si="2"/>
        <v>-1.1180339887498949</v>
      </c>
      <c r="N20" s="1">
        <f t="shared" si="3"/>
        <v>0</v>
      </c>
    </row>
    <row r="21" spans="1:14">
      <c r="A21">
        <v>0.86113631159405202</v>
      </c>
      <c r="B21">
        <v>0.34785484513745302</v>
      </c>
      <c r="D21">
        <v>8</v>
      </c>
      <c r="E21">
        <v>0</v>
      </c>
      <c r="F21" s="1">
        <f>-F27</f>
        <v>-0.83603110732663499</v>
      </c>
      <c r="G21" s="1">
        <v>0</v>
      </c>
      <c r="H21" s="1">
        <v>0.18064816069485701</v>
      </c>
      <c r="I21" s="1">
        <v>2</v>
      </c>
      <c r="J21">
        <v>1</v>
      </c>
      <c r="K21" s="1">
        <f t="shared" si="0"/>
        <v>0</v>
      </c>
      <c r="L21" s="1">
        <f t="shared" si="1"/>
        <v>1.2263089140069554</v>
      </c>
      <c r="M21" s="1">
        <f t="shared" si="2"/>
        <v>-1.1180339887498949</v>
      </c>
      <c r="N21" s="1">
        <f t="shared" si="3"/>
        <v>0</v>
      </c>
    </row>
    <row r="22" spans="1:14">
      <c r="D22">
        <v>8</v>
      </c>
      <c r="E22">
        <v>0</v>
      </c>
      <c r="F22" s="1">
        <f>-F26</f>
        <v>-0.61337143270059002</v>
      </c>
      <c r="G22" s="1">
        <v>0</v>
      </c>
      <c r="H22" s="1">
        <v>0.26061069640293499</v>
      </c>
      <c r="I22" s="1">
        <v>2</v>
      </c>
      <c r="J22">
        <v>1</v>
      </c>
      <c r="K22" s="1">
        <f t="shared" si="0"/>
        <v>0</v>
      </c>
      <c r="L22" s="1">
        <f t="shared" si="1"/>
        <v>0.14386139492883052</v>
      </c>
      <c r="M22" s="1">
        <f t="shared" si="2"/>
        <v>-1.1180339887498949</v>
      </c>
      <c r="N22" s="1">
        <f t="shared" si="3"/>
        <v>0</v>
      </c>
    </row>
    <row r="23" spans="1:14">
      <c r="A23" t="s">
        <v>13</v>
      </c>
      <c r="B23">
        <v>9</v>
      </c>
      <c r="D23">
        <v>8</v>
      </c>
      <c r="E23">
        <v>0</v>
      </c>
      <c r="F23" s="1">
        <f>-F25</f>
        <v>-0.32425342340380803</v>
      </c>
      <c r="G23" s="1">
        <v>0</v>
      </c>
      <c r="H23" s="1">
        <v>0.31234707704000197</v>
      </c>
      <c r="I23" s="1">
        <v>2</v>
      </c>
      <c r="J23">
        <v>1</v>
      </c>
      <c r="K23" s="1">
        <f t="shared" si="0"/>
        <v>0</v>
      </c>
      <c r="L23" s="1">
        <f t="shared" si="1"/>
        <v>-0.76538276018578344</v>
      </c>
      <c r="M23" s="1">
        <f t="shared" si="2"/>
        <v>-1.1180339887498949</v>
      </c>
      <c r="N23" s="1">
        <f t="shared" si="3"/>
        <v>0</v>
      </c>
    </row>
    <row r="24" spans="1:14">
      <c r="A24" t="s">
        <v>14</v>
      </c>
      <c r="B24" t="s">
        <v>15</v>
      </c>
      <c r="D24">
        <v>8</v>
      </c>
      <c r="E24">
        <v>0</v>
      </c>
      <c r="F24" s="1">
        <v>0</v>
      </c>
      <c r="G24" s="1">
        <v>0</v>
      </c>
      <c r="H24" s="1">
        <v>0.33023935500125901</v>
      </c>
      <c r="I24" s="1">
        <v>2</v>
      </c>
      <c r="J24">
        <v>1</v>
      </c>
      <c r="K24" s="1">
        <f t="shared" si="0"/>
        <v>0</v>
      </c>
      <c r="L24" s="1">
        <f t="shared" si="1"/>
        <v>-1.1180339887498949</v>
      </c>
      <c r="M24" s="1">
        <f t="shared" si="2"/>
        <v>-1.1180339887498949</v>
      </c>
      <c r="N24" s="1">
        <f t="shared" si="3"/>
        <v>0</v>
      </c>
    </row>
    <row r="25" spans="1:14">
      <c r="A25">
        <f>-A33</f>
        <v>-0.96816023950762597</v>
      </c>
      <c r="B25">
        <v>8.1274388361574398E-2</v>
      </c>
      <c r="D25">
        <v>8</v>
      </c>
      <c r="E25">
        <v>0</v>
      </c>
      <c r="F25" s="1">
        <v>0.32425342340380803</v>
      </c>
      <c r="G25" s="1">
        <v>0</v>
      </c>
      <c r="H25" s="1">
        <v>0.31234707704000197</v>
      </c>
      <c r="I25" s="1">
        <v>2</v>
      </c>
      <c r="J25">
        <v>1</v>
      </c>
      <c r="K25" s="1">
        <f t="shared" si="0"/>
        <v>0</v>
      </c>
      <c r="L25" s="1">
        <f t="shared" si="1"/>
        <v>-0.76538276018578344</v>
      </c>
      <c r="M25" s="1">
        <f t="shared" si="2"/>
        <v>-1.1180339887498949</v>
      </c>
      <c r="N25" s="1">
        <f t="shared" si="3"/>
        <v>0</v>
      </c>
    </row>
    <row r="26" spans="1:14">
      <c r="A26">
        <f>-A32</f>
        <v>-0.83603110732663499</v>
      </c>
      <c r="B26">
        <v>0.18064816069485701</v>
      </c>
      <c r="D26">
        <v>8</v>
      </c>
      <c r="E26">
        <v>0</v>
      </c>
      <c r="F26" s="1">
        <v>0.61337143270059002</v>
      </c>
      <c r="G26" s="1">
        <v>0</v>
      </c>
      <c r="H26" s="1">
        <v>0.26061069640293499</v>
      </c>
      <c r="I26" s="1">
        <v>2</v>
      </c>
      <c r="J26">
        <v>1</v>
      </c>
      <c r="K26" s="1">
        <f t="shared" si="0"/>
        <v>0</v>
      </c>
      <c r="L26" s="1">
        <f t="shared" si="1"/>
        <v>0.14386139492883052</v>
      </c>
      <c r="M26" s="1">
        <f t="shared" si="2"/>
        <v>-1.1180339887498949</v>
      </c>
      <c r="N26" s="1">
        <f t="shared" si="3"/>
        <v>0</v>
      </c>
    </row>
    <row r="27" spans="1:14">
      <c r="A27">
        <f>-A31</f>
        <v>-0.61337143270059002</v>
      </c>
      <c r="B27">
        <v>0.26061069640293499</v>
      </c>
      <c r="D27">
        <v>8</v>
      </c>
      <c r="E27">
        <v>0</v>
      </c>
      <c r="F27" s="1">
        <v>0.83603110732663499</v>
      </c>
      <c r="G27" s="1">
        <v>0</v>
      </c>
      <c r="H27" s="1">
        <v>0.18064816069485701</v>
      </c>
      <c r="I27" s="1">
        <v>2</v>
      </c>
      <c r="J27">
        <v>1</v>
      </c>
      <c r="K27" s="1">
        <f t="shared" si="0"/>
        <v>0</v>
      </c>
      <c r="L27" s="1">
        <f t="shared" si="1"/>
        <v>1.2263089140069554</v>
      </c>
      <c r="M27" s="1">
        <f t="shared" si="2"/>
        <v>-1.1180339887498949</v>
      </c>
      <c r="N27" s="1">
        <f t="shared" si="3"/>
        <v>0</v>
      </c>
    </row>
    <row r="28" spans="1:14">
      <c r="A28">
        <f>-A30</f>
        <v>-0.32425342340380803</v>
      </c>
      <c r="B28">
        <v>0.31234707704000197</v>
      </c>
      <c r="D28">
        <v>8</v>
      </c>
      <c r="E28">
        <v>0</v>
      </c>
      <c r="F28" s="1">
        <v>0.96816023950762597</v>
      </c>
      <c r="G28" s="1">
        <v>0</v>
      </c>
      <c r="H28" s="1">
        <v>8.1274388361574398E-2</v>
      </c>
      <c r="I28" s="1">
        <v>2</v>
      </c>
      <c r="J28">
        <v>1</v>
      </c>
      <c r="K28" s="1">
        <f t="shared" si="0"/>
        <v>0</v>
      </c>
      <c r="L28" s="1">
        <f t="shared" si="1"/>
        <v>2.0258806600732711</v>
      </c>
      <c r="M28" s="1">
        <f t="shared" si="2"/>
        <v>-1.1180339887498949</v>
      </c>
      <c r="N28" s="1">
        <f t="shared" si="3"/>
        <v>0</v>
      </c>
    </row>
    <row r="29" spans="1:14">
      <c r="A29">
        <v>0</v>
      </c>
      <c r="B29">
        <v>0.33023935500125901</v>
      </c>
      <c r="D29">
        <v>1</v>
      </c>
      <c r="E29">
        <v>2</v>
      </c>
      <c r="F29" s="1">
        <v>-0.57735026918962495</v>
      </c>
      <c r="G29" s="1">
        <v>0.77459666924148296</v>
      </c>
      <c r="H29" s="1">
        <v>1</v>
      </c>
      <c r="I29" s="1">
        <f>5/9</f>
        <v>0.55555555555555558</v>
      </c>
      <c r="J29">
        <v>-1</v>
      </c>
      <c r="K29" s="1">
        <f t="shared" si="0"/>
        <v>0.19999999999999921</v>
      </c>
      <c r="L29" s="1">
        <f t="shared" si="1"/>
        <v>-3.2272943992214551E-15</v>
      </c>
      <c r="M29" s="1">
        <f t="shared" si="2"/>
        <v>0.89442719099991375</v>
      </c>
      <c r="N29" s="1">
        <f t="shared" si="3"/>
        <v>3.2073109600282097E-16</v>
      </c>
    </row>
    <row r="30" spans="1:14">
      <c r="A30">
        <v>0.32425342340380803</v>
      </c>
      <c r="B30">
        <v>0.31234707704000197</v>
      </c>
      <c r="D30">
        <v>1</v>
      </c>
      <c r="E30">
        <v>2</v>
      </c>
      <c r="F30" s="1">
        <v>-0.57735026918962495</v>
      </c>
      <c r="G30" s="1">
        <v>0</v>
      </c>
      <c r="H30" s="1">
        <v>1</v>
      </c>
      <c r="I30" s="1">
        <f>8/9</f>
        <v>0.88888888888888884</v>
      </c>
      <c r="J30">
        <v>-1</v>
      </c>
      <c r="K30" s="1">
        <f t="shared" si="0"/>
        <v>0</v>
      </c>
      <c r="L30" s="1">
        <f t="shared" si="1"/>
        <v>-3.2272943992214551E-15</v>
      </c>
      <c r="M30" s="1">
        <f t="shared" si="2"/>
        <v>-1.1180339887498949</v>
      </c>
      <c r="N30" s="1">
        <f t="shared" si="3"/>
        <v>0</v>
      </c>
    </row>
    <row r="31" spans="1:14">
      <c r="A31">
        <v>0.61337143270059002</v>
      </c>
      <c r="B31">
        <v>0.26061069640293499</v>
      </c>
      <c r="D31">
        <v>1</v>
      </c>
      <c r="E31">
        <v>2</v>
      </c>
      <c r="F31" s="1">
        <v>-0.57735026918962495</v>
      </c>
      <c r="G31" s="1">
        <f>-G29</f>
        <v>-0.77459666924148296</v>
      </c>
      <c r="H31" s="1">
        <v>1</v>
      </c>
      <c r="I31" s="1">
        <f>I29</f>
        <v>0.55555555555555558</v>
      </c>
      <c r="J31">
        <v>-1</v>
      </c>
      <c r="K31" s="1">
        <f t="shared" si="0"/>
        <v>0.19999999999999921</v>
      </c>
      <c r="L31" s="1">
        <f t="shared" si="1"/>
        <v>-3.2272943992214551E-15</v>
      </c>
      <c r="M31" s="1">
        <f t="shared" si="2"/>
        <v>0.89442719099991375</v>
      </c>
      <c r="N31" s="1">
        <f t="shared" si="3"/>
        <v>3.2073109600282097E-16</v>
      </c>
    </row>
    <row r="32" spans="1:14">
      <c r="A32">
        <v>0.83603110732663499</v>
      </c>
      <c r="B32">
        <v>0.18064816069485701</v>
      </c>
      <c r="D32">
        <v>1</v>
      </c>
      <c r="E32">
        <v>2</v>
      </c>
      <c r="F32" s="1">
        <v>0.57735026918962495</v>
      </c>
      <c r="G32" s="1">
        <v>0.77459666924148296</v>
      </c>
      <c r="H32" s="1">
        <v>1</v>
      </c>
      <c r="I32" s="1">
        <f>5/9</f>
        <v>0.55555555555555558</v>
      </c>
      <c r="J32">
        <v>-1</v>
      </c>
      <c r="K32" s="1">
        <f t="shared" si="0"/>
        <v>0.19999999999999921</v>
      </c>
      <c r="L32" s="1">
        <f t="shared" si="1"/>
        <v>-3.2272943992214551E-15</v>
      </c>
      <c r="M32" s="1">
        <f t="shared" si="2"/>
        <v>0.89442719099991375</v>
      </c>
      <c r="N32" s="1">
        <f t="shared" si="3"/>
        <v>3.2073109600282097E-16</v>
      </c>
    </row>
    <row r="33" spans="1:14">
      <c r="A33">
        <v>0.96816023950762597</v>
      </c>
      <c r="B33">
        <v>8.1274388361574398E-2</v>
      </c>
      <c r="D33">
        <v>1</v>
      </c>
      <c r="E33">
        <v>2</v>
      </c>
      <c r="F33" s="1">
        <v>0.57735026918962495</v>
      </c>
      <c r="G33" s="1">
        <v>0</v>
      </c>
      <c r="H33" s="1">
        <v>1</v>
      </c>
      <c r="I33" s="1">
        <f>8/9</f>
        <v>0.88888888888888884</v>
      </c>
      <c r="J33">
        <v>-1</v>
      </c>
      <c r="K33" s="1">
        <f t="shared" si="0"/>
        <v>0</v>
      </c>
      <c r="L33" s="1">
        <f t="shared" si="1"/>
        <v>-3.2272943992214551E-15</v>
      </c>
      <c r="M33" s="1">
        <f t="shared" si="2"/>
        <v>-1.1180339887498949</v>
      </c>
      <c r="N33" s="1">
        <f t="shared" si="3"/>
        <v>0</v>
      </c>
    </row>
    <row r="34" spans="1:14">
      <c r="D34">
        <v>1</v>
      </c>
      <c r="E34">
        <v>2</v>
      </c>
      <c r="F34" s="1">
        <v>0.57735026918962495</v>
      </c>
      <c r="G34" s="1">
        <f>-G32</f>
        <v>-0.77459666924148296</v>
      </c>
      <c r="H34" s="1">
        <v>1</v>
      </c>
      <c r="I34" s="1">
        <f>I32</f>
        <v>0.55555555555555558</v>
      </c>
      <c r="J34">
        <v>-1</v>
      </c>
      <c r="K34" s="1">
        <f t="shared" si="0"/>
        <v>0.19999999999999921</v>
      </c>
      <c r="L34" s="1">
        <f t="shared" si="1"/>
        <v>-3.2272943992214551E-15</v>
      </c>
      <c r="M34" s="1">
        <f t="shared" si="2"/>
        <v>0.89442719099991375</v>
      </c>
      <c r="N34" s="1">
        <f t="shared" si="3"/>
        <v>3.2073109600282097E-16</v>
      </c>
    </row>
    <row r="35" spans="1:14">
      <c r="D35">
        <v>2</v>
      </c>
      <c r="E35">
        <v>1</v>
      </c>
      <c r="F35" s="1">
        <v>0.77459666924148296</v>
      </c>
      <c r="G35" s="1">
        <v>-0.57735026918962495</v>
      </c>
      <c r="H35" s="1">
        <f>5/9</f>
        <v>0.55555555555555558</v>
      </c>
      <c r="I35" s="1">
        <v>1</v>
      </c>
      <c r="J35">
        <v>-1</v>
      </c>
      <c r="K35" s="1">
        <f t="shared" si="0"/>
        <v>0.19999999999999921</v>
      </c>
      <c r="L35" s="1">
        <f t="shared" si="1"/>
        <v>0.89442719099991375</v>
      </c>
      <c r="M35" s="1">
        <f t="shared" si="2"/>
        <v>-3.2272943992214551E-15</v>
      </c>
      <c r="N35" s="1">
        <f t="shared" si="3"/>
        <v>3.2073109600282097E-16</v>
      </c>
    </row>
    <row r="36" spans="1:14">
      <c r="D36">
        <v>2</v>
      </c>
      <c r="E36">
        <v>1</v>
      </c>
      <c r="F36" s="1">
        <v>0</v>
      </c>
      <c r="G36" s="1">
        <v>-0.57735026918962495</v>
      </c>
      <c r="H36" s="1">
        <f>8/9</f>
        <v>0.88888888888888884</v>
      </c>
      <c r="I36" s="1">
        <v>1</v>
      </c>
      <c r="J36">
        <v>-1</v>
      </c>
      <c r="K36" s="1">
        <f t="shared" si="0"/>
        <v>0</v>
      </c>
      <c r="L36" s="1">
        <f t="shared" si="1"/>
        <v>-1.1180339887498949</v>
      </c>
      <c r="M36" s="1">
        <f t="shared" si="2"/>
        <v>-3.2272943992214551E-15</v>
      </c>
      <c r="N36" s="1">
        <f t="shared" si="3"/>
        <v>0</v>
      </c>
    </row>
    <row r="37" spans="1:14">
      <c r="D37">
        <v>2</v>
      </c>
      <c r="E37">
        <v>1</v>
      </c>
      <c r="F37" s="1">
        <f>-F35</f>
        <v>-0.77459666924148296</v>
      </c>
      <c r="G37" s="1">
        <v>-0.57735026918962495</v>
      </c>
      <c r="H37" s="1">
        <f>H35</f>
        <v>0.55555555555555558</v>
      </c>
      <c r="I37" s="1">
        <v>1</v>
      </c>
      <c r="J37">
        <v>-1</v>
      </c>
      <c r="K37" s="1">
        <f t="shared" si="0"/>
        <v>0.19999999999999921</v>
      </c>
      <c r="L37" s="1">
        <f t="shared" si="1"/>
        <v>0.89442719099991375</v>
      </c>
      <c r="M37" s="1">
        <f t="shared" si="2"/>
        <v>-3.2272943992214551E-15</v>
      </c>
      <c r="N37" s="1">
        <f t="shared" si="3"/>
        <v>3.2073109600282097E-16</v>
      </c>
    </row>
    <row r="38" spans="1:14">
      <c r="D38">
        <v>2</v>
      </c>
      <c r="E38">
        <v>1</v>
      </c>
      <c r="F38" s="1">
        <v>0.77459666924148296</v>
      </c>
      <c r="G38" s="1">
        <v>0.57735026918962495</v>
      </c>
      <c r="H38" s="1">
        <f>5/9</f>
        <v>0.55555555555555558</v>
      </c>
      <c r="I38" s="1">
        <v>1</v>
      </c>
      <c r="J38">
        <v>-1</v>
      </c>
      <c r="K38" s="1">
        <f t="shared" si="0"/>
        <v>0.19999999999999921</v>
      </c>
      <c r="L38" s="1">
        <f t="shared" si="1"/>
        <v>0.89442719099991375</v>
      </c>
      <c r="M38" s="1">
        <f t="shared" si="2"/>
        <v>-3.2272943992214551E-15</v>
      </c>
      <c r="N38" s="1">
        <f t="shared" si="3"/>
        <v>3.2073109600282097E-16</v>
      </c>
    </row>
    <row r="39" spans="1:14">
      <c r="D39">
        <v>2</v>
      </c>
      <c r="E39">
        <v>1</v>
      </c>
      <c r="F39" s="1">
        <v>0</v>
      </c>
      <c r="G39" s="1">
        <v>0.57735026918962495</v>
      </c>
      <c r="H39" s="1">
        <f>8/9</f>
        <v>0.88888888888888884</v>
      </c>
      <c r="I39" s="1">
        <v>1</v>
      </c>
      <c r="J39">
        <v>-1</v>
      </c>
      <c r="K39" s="1">
        <f t="shared" si="0"/>
        <v>0</v>
      </c>
      <c r="L39" s="1">
        <f t="shared" si="1"/>
        <v>-1.1180339887498949</v>
      </c>
      <c r="M39" s="1">
        <f t="shared" si="2"/>
        <v>-3.2272943992214551E-15</v>
      </c>
      <c r="N39" s="1">
        <f t="shared" si="3"/>
        <v>0</v>
      </c>
    </row>
    <row r="40" spans="1:14">
      <c r="D40">
        <v>2</v>
      </c>
      <c r="E40">
        <v>1</v>
      </c>
      <c r="F40" s="1">
        <f>-F38</f>
        <v>-0.77459666924148296</v>
      </c>
      <c r="G40" s="1">
        <v>0.57735026918962495</v>
      </c>
      <c r="H40" s="1">
        <f>H38</f>
        <v>0.55555555555555558</v>
      </c>
      <c r="I40" s="1">
        <v>1</v>
      </c>
      <c r="J40">
        <v>-1</v>
      </c>
      <c r="K40" s="1">
        <f t="shared" si="0"/>
        <v>0.19999999999999921</v>
      </c>
      <c r="L40" s="1">
        <f t="shared" si="1"/>
        <v>0.89442719099991375</v>
      </c>
      <c r="M40" s="1">
        <f t="shared" si="2"/>
        <v>-3.2272943992214551E-15</v>
      </c>
      <c r="N40" s="1">
        <f t="shared" si="3"/>
        <v>3.2073109600282097E-16</v>
      </c>
    </row>
    <row r="41" spans="1:14">
      <c r="D41">
        <v>1</v>
      </c>
      <c r="E41">
        <v>3</v>
      </c>
      <c r="F41" s="1">
        <v>-0.57735026918962495</v>
      </c>
      <c r="G41" s="1">
        <f>-G44</f>
        <v>-0.86113631159405202</v>
      </c>
      <c r="H41" s="1">
        <v>1</v>
      </c>
      <c r="I41" s="1">
        <v>0.34785484513745302</v>
      </c>
      <c r="J41">
        <v>1</v>
      </c>
      <c r="K41" s="1">
        <f t="shared" si="0"/>
        <v>0.24718524904860206</v>
      </c>
      <c r="L41" s="1">
        <f t="shared" si="1"/>
        <v>-3.2272943992214551E-15</v>
      </c>
      <c r="M41" s="1">
        <f t="shared" si="2"/>
        <v>1.3692196008356148</v>
      </c>
      <c r="N41" s="1">
        <f t="shared" si="3"/>
        <v>-3.7995511821903469E-16</v>
      </c>
    </row>
    <row r="42" spans="1:14">
      <c r="D42">
        <v>1</v>
      </c>
      <c r="E42">
        <v>3</v>
      </c>
      <c r="F42" s="1">
        <v>-0.57735026918962495</v>
      </c>
      <c r="G42" s="1">
        <f>-G43</f>
        <v>-0.33998104358485598</v>
      </c>
      <c r="H42" s="1">
        <v>1</v>
      </c>
      <c r="I42" s="1">
        <v>0.65214515486254598</v>
      </c>
      <c r="J42">
        <v>1</v>
      </c>
      <c r="K42" s="1">
        <f t="shared" si="0"/>
        <v>3.852903666568247E-2</v>
      </c>
      <c r="L42" s="1">
        <f t="shared" si="1"/>
        <v>-3.2272943992214551E-15</v>
      </c>
      <c r="M42" s="1">
        <f t="shared" si="2"/>
        <v>-0.7303430358356785</v>
      </c>
      <c r="N42" s="1">
        <f t="shared" si="3"/>
        <v>5.9224022216214741E-17</v>
      </c>
    </row>
    <row r="43" spans="1:14">
      <c r="D43">
        <v>1</v>
      </c>
      <c r="E43">
        <v>3</v>
      </c>
      <c r="F43" s="1">
        <v>-0.57735026918962495</v>
      </c>
      <c r="G43" s="1">
        <v>0.33998104358485598</v>
      </c>
      <c r="H43" s="1">
        <v>1</v>
      </c>
      <c r="I43" s="1">
        <v>0.65214515486254598</v>
      </c>
      <c r="J43">
        <v>1</v>
      </c>
      <c r="K43" s="1">
        <f t="shared" si="0"/>
        <v>3.852903666568247E-2</v>
      </c>
      <c r="L43" s="1">
        <f t="shared" si="1"/>
        <v>-3.2272943992214551E-15</v>
      </c>
      <c r="M43" s="1">
        <f t="shared" si="2"/>
        <v>-0.7303430358356785</v>
      </c>
      <c r="N43" s="1">
        <f t="shared" si="3"/>
        <v>5.9224022216214741E-17</v>
      </c>
    </row>
    <row r="44" spans="1:14">
      <c r="D44">
        <v>1</v>
      </c>
      <c r="E44">
        <v>3</v>
      </c>
      <c r="F44" s="1">
        <v>-0.57735026918962495</v>
      </c>
      <c r="G44" s="1">
        <v>0.86113631159405202</v>
      </c>
      <c r="H44" s="1">
        <v>1</v>
      </c>
      <c r="I44" s="1">
        <v>0.34785484513745302</v>
      </c>
      <c r="J44">
        <v>1</v>
      </c>
      <c r="K44" s="1">
        <f t="shared" si="0"/>
        <v>0.24718524904860206</v>
      </c>
      <c r="L44" s="1">
        <f t="shared" si="1"/>
        <v>-3.2272943992214551E-15</v>
      </c>
      <c r="M44" s="1">
        <f t="shared" si="2"/>
        <v>1.3692196008356148</v>
      </c>
      <c r="N44" s="1">
        <f t="shared" si="3"/>
        <v>-3.7995511821903469E-16</v>
      </c>
    </row>
    <row r="45" spans="1:14">
      <c r="D45">
        <v>1</v>
      </c>
      <c r="E45">
        <v>3</v>
      </c>
      <c r="F45" s="1">
        <v>0.57735026918962495</v>
      </c>
      <c r="G45" s="1">
        <f>-G48</f>
        <v>-0.86113631159405202</v>
      </c>
      <c r="H45" s="1">
        <v>1</v>
      </c>
      <c r="I45" s="1">
        <v>0.34785484513745302</v>
      </c>
      <c r="J45">
        <v>1</v>
      </c>
      <c r="K45" s="1">
        <f t="shared" si="0"/>
        <v>0.24718524904860206</v>
      </c>
      <c r="L45" s="1">
        <f t="shared" si="1"/>
        <v>-3.2272943992214551E-15</v>
      </c>
      <c r="M45" s="1">
        <f t="shared" si="2"/>
        <v>1.3692196008356148</v>
      </c>
      <c r="N45" s="1">
        <f t="shared" si="3"/>
        <v>-3.7995511821903469E-16</v>
      </c>
    </row>
    <row r="46" spans="1:14">
      <c r="D46">
        <v>1</v>
      </c>
      <c r="E46">
        <v>3</v>
      </c>
      <c r="F46" s="1">
        <v>0.57735026918962495</v>
      </c>
      <c r="G46" s="1">
        <f>-G47</f>
        <v>-0.33998104358485598</v>
      </c>
      <c r="H46" s="1">
        <v>1</v>
      </c>
      <c r="I46" s="1">
        <v>0.65214515486254598</v>
      </c>
      <c r="J46">
        <v>1</v>
      </c>
      <c r="K46" s="1">
        <f t="shared" si="0"/>
        <v>3.852903666568247E-2</v>
      </c>
      <c r="L46" s="1">
        <f t="shared" si="1"/>
        <v>-3.2272943992214551E-15</v>
      </c>
      <c r="M46" s="1">
        <f t="shared" si="2"/>
        <v>-0.7303430358356785</v>
      </c>
      <c r="N46" s="1">
        <f t="shared" si="3"/>
        <v>5.9224022216214741E-17</v>
      </c>
    </row>
    <row r="47" spans="1:14">
      <c r="D47">
        <v>1</v>
      </c>
      <c r="E47">
        <v>3</v>
      </c>
      <c r="F47" s="1">
        <v>0.57735026918962495</v>
      </c>
      <c r="G47" s="1">
        <v>0.33998104358485598</v>
      </c>
      <c r="H47" s="1">
        <v>1</v>
      </c>
      <c r="I47" s="1">
        <v>0.65214515486254598</v>
      </c>
      <c r="J47">
        <v>1</v>
      </c>
      <c r="K47" s="1">
        <f t="shared" si="0"/>
        <v>3.852903666568247E-2</v>
      </c>
      <c r="L47" s="1">
        <f t="shared" si="1"/>
        <v>-3.2272943992214551E-15</v>
      </c>
      <c r="M47" s="1">
        <f t="shared" si="2"/>
        <v>-0.7303430358356785</v>
      </c>
      <c r="N47" s="1">
        <f t="shared" si="3"/>
        <v>5.9224022216214741E-17</v>
      </c>
    </row>
    <row r="48" spans="1:14">
      <c r="D48">
        <v>1</v>
      </c>
      <c r="E48">
        <v>3</v>
      </c>
      <c r="F48" s="1">
        <v>0.57735026918962495</v>
      </c>
      <c r="G48" s="1">
        <v>0.86113631159405202</v>
      </c>
      <c r="H48" s="1">
        <v>1</v>
      </c>
      <c r="I48" s="1">
        <v>0.34785484513745302</v>
      </c>
      <c r="J48">
        <v>1</v>
      </c>
      <c r="K48" s="1">
        <f t="shared" si="0"/>
        <v>0.24718524904860206</v>
      </c>
      <c r="L48" s="1">
        <f t="shared" si="1"/>
        <v>-3.2272943992214551E-15</v>
      </c>
      <c r="M48" s="1">
        <f t="shared" si="2"/>
        <v>1.3692196008356148</v>
      </c>
      <c r="N48" s="1">
        <f t="shared" si="3"/>
        <v>-3.7995511821903469E-16</v>
      </c>
    </row>
    <row r="49" spans="4:14">
      <c r="D49">
        <v>3</v>
      </c>
      <c r="E49">
        <v>1</v>
      </c>
      <c r="F49" s="1">
        <f>-F52</f>
        <v>-0.86113631159405202</v>
      </c>
      <c r="G49" s="1">
        <v>-0.57735026918962495</v>
      </c>
      <c r="H49" s="1">
        <v>0.34785484513745302</v>
      </c>
      <c r="I49" s="1">
        <v>1</v>
      </c>
      <c r="J49">
        <v>1</v>
      </c>
      <c r="K49" s="1">
        <f t="shared" si="0"/>
        <v>0.24718524904860206</v>
      </c>
      <c r="L49" s="1">
        <f t="shared" si="1"/>
        <v>1.3692196008356148</v>
      </c>
      <c r="M49" s="1">
        <f t="shared" si="2"/>
        <v>-3.2272943992214551E-15</v>
      </c>
      <c r="N49" s="1">
        <f t="shared" si="3"/>
        <v>-3.7995511821903474E-16</v>
      </c>
    </row>
    <row r="50" spans="4:14">
      <c r="D50">
        <v>3</v>
      </c>
      <c r="E50">
        <v>1</v>
      </c>
      <c r="F50" s="1">
        <f>-F51</f>
        <v>-0.33998104358485598</v>
      </c>
      <c r="G50" s="1">
        <v>-0.57735026918962495</v>
      </c>
      <c r="H50" s="1">
        <v>0.65214515486254598</v>
      </c>
      <c r="I50" s="1">
        <v>1</v>
      </c>
      <c r="J50">
        <v>1</v>
      </c>
      <c r="K50" s="1">
        <f t="shared" si="0"/>
        <v>3.852903666568247E-2</v>
      </c>
      <c r="L50" s="1">
        <f t="shared" si="1"/>
        <v>-0.7303430358356785</v>
      </c>
      <c r="M50" s="1">
        <f t="shared" si="2"/>
        <v>-3.2272943992214551E-15</v>
      </c>
      <c r="N50" s="1">
        <f t="shared" si="3"/>
        <v>5.9224022216214741E-17</v>
      </c>
    </row>
    <row r="51" spans="4:14">
      <c r="D51">
        <v>3</v>
      </c>
      <c r="E51">
        <v>1</v>
      </c>
      <c r="F51" s="1">
        <v>0.33998104358485598</v>
      </c>
      <c r="G51" s="1">
        <v>-0.57735026918962495</v>
      </c>
      <c r="H51" s="1">
        <v>0.65214515486254598</v>
      </c>
      <c r="I51" s="1">
        <v>1</v>
      </c>
      <c r="J51">
        <v>1</v>
      </c>
      <c r="K51" s="1">
        <f t="shared" si="0"/>
        <v>3.852903666568247E-2</v>
      </c>
      <c r="L51" s="1">
        <f t="shared" si="1"/>
        <v>-0.7303430358356785</v>
      </c>
      <c r="M51" s="1">
        <f t="shared" si="2"/>
        <v>-3.2272943992214551E-15</v>
      </c>
      <c r="N51" s="1">
        <f t="shared" si="3"/>
        <v>5.9224022216214741E-17</v>
      </c>
    </row>
    <row r="52" spans="4:14">
      <c r="D52">
        <v>3</v>
      </c>
      <c r="E52">
        <v>1</v>
      </c>
      <c r="F52" s="1">
        <v>0.86113631159405202</v>
      </c>
      <c r="G52" s="1">
        <v>-0.57735026918962495</v>
      </c>
      <c r="H52" s="1">
        <v>0.34785484513745302</v>
      </c>
      <c r="I52" s="1">
        <v>1</v>
      </c>
      <c r="J52">
        <v>1</v>
      </c>
      <c r="K52" s="1">
        <f t="shared" si="0"/>
        <v>0.24718524904860206</v>
      </c>
      <c r="L52" s="1">
        <f t="shared" si="1"/>
        <v>1.3692196008356148</v>
      </c>
      <c r="M52" s="1">
        <f t="shared" si="2"/>
        <v>-3.2272943992214551E-15</v>
      </c>
      <c r="N52" s="1">
        <f t="shared" si="3"/>
        <v>-3.7995511821903474E-16</v>
      </c>
    </row>
    <row r="53" spans="4:14">
      <c r="D53">
        <v>3</v>
      </c>
      <c r="E53">
        <v>1</v>
      </c>
      <c r="F53" s="1">
        <f>-F56</f>
        <v>-0.86113631159405202</v>
      </c>
      <c r="G53" s="1">
        <v>0.57735026918962495</v>
      </c>
      <c r="H53" s="1">
        <v>0.34785484513745302</v>
      </c>
      <c r="I53" s="1">
        <v>1</v>
      </c>
      <c r="J53">
        <v>1</v>
      </c>
      <c r="K53" s="1">
        <f t="shared" si="0"/>
        <v>0.24718524904860206</v>
      </c>
      <c r="L53" s="1">
        <f t="shared" si="1"/>
        <v>1.3692196008356148</v>
      </c>
      <c r="M53" s="1">
        <f t="shared" si="2"/>
        <v>-3.2272943992214551E-15</v>
      </c>
      <c r="N53" s="1">
        <f t="shared" si="3"/>
        <v>-3.7995511821903474E-16</v>
      </c>
    </row>
    <row r="54" spans="4:14">
      <c r="D54">
        <v>3</v>
      </c>
      <c r="E54">
        <v>1</v>
      </c>
      <c r="F54" s="1">
        <f>-F55</f>
        <v>-0.33998104358485598</v>
      </c>
      <c r="G54" s="1">
        <v>0.57735026918962495</v>
      </c>
      <c r="H54" s="1">
        <v>0.65214515486254598</v>
      </c>
      <c r="I54" s="1">
        <v>1</v>
      </c>
      <c r="J54">
        <v>1</v>
      </c>
      <c r="K54" s="1">
        <f t="shared" si="0"/>
        <v>3.852903666568247E-2</v>
      </c>
      <c r="L54" s="1">
        <f t="shared" si="1"/>
        <v>-0.7303430358356785</v>
      </c>
      <c r="M54" s="1">
        <f t="shared" si="2"/>
        <v>-3.2272943992214551E-15</v>
      </c>
      <c r="N54" s="1">
        <f t="shared" si="3"/>
        <v>5.9224022216214741E-17</v>
      </c>
    </row>
    <row r="55" spans="4:14">
      <c r="D55">
        <v>3</v>
      </c>
      <c r="E55">
        <v>1</v>
      </c>
      <c r="F55" s="1">
        <v>0.33998104358485598</v>
      </c>
      <c r="G55" s="1">
        <v>0.57735026918962495</v>
      </c>
      <c r="H55" s="1">
        <v>0.65214515486254598</v>
      </c>
      <c r="I55" s="1">
        <v>1</v>
      </c>
      <c r="J55">
        <v>1</v>
      </c>
      <c r="K55" s="1">
        <f t="shared" si="0"/>
        <v>3.852903666568247E-2</v>
      </c>
      <c r="L55" s="1">
        <f t="shared" si="1"/>
        <v>-0.7303430358356785</v>
      </c>
      <c r="M55" s="1">
        <f t="shared" si="2"/>
        <v>-3.2272943992214551E-15</v>
      </c>
      <c r="N55" s="1">
        <f t="shared" si="3"/>
        <v>5.9224022216214741E-17</v>
      </c>
    </row>
    <row r="56" spans="4:14">
      <c r="D56">
        <v>3</v>
      </c>
      <c r="E56">
        <v>1</v>
      </c>
      <c r="F56" s="1">
        <v>0.86113631159405202</v>
      </c>
      <c r="G56" s="1">
        <v>0.57735026918962495</v>
      </c>
      <c r="H56" s="1">
        <v>0.34785484513745302</v>
      </c>
      <c r="I56" s="1">
        <v>1</v>
      </c>
      <c r="J56">
        <v>1</v>
      </c>
      <c r="K56" s="1">
        <f t="shared" si="0"/>
        <v>0.24718524904860206</v>
      </c>
      <c r="L56" s="1">
        <f t="shared" si="1"/>
        <v>1.3692196008356148</v>
      </c>
      <c r="M56" s="1">
        <f t="shared" si="2"/>
        <v>-3.2272943992214551E-15</v>
      </c>
      <c r="N56" s="1">
        <f t="shared" si="3"/>
        <v>-3.7995511821903474E-16</v>
      </c>
    </row>
    <row r="57" spans="4:14">
      <c r="D57">
        <v>2</v>
      </c>
      <c r="E57">
        <v>2</v>
      </c>
      <c r="F57" s="1">
        <v>-0.77459666924148296</v>
      </c>
      <c r="G57" s="1">
        <v>-0.77459666924148296</v>
      </c>
      <c r="H57" s="1">
        <f>5/9</f>
        <v>0.55555555555555558</v>
      </c>
      <c r="I57" s="1">
        <f>5/9</f>
        <v>0.55555555555555558</v>
      </c>
      <c r="J57">
        <v>1</v>
      </c>
      <c r="K57" s="1">
        <f t="shared" si="0"/>
        <v>0.35999999999999915</v>
      </c>
      <c r="L57" s="1">
        <f t="shared" si="1"/>
        <v>0.89442719099991375</v>
      </c>
      <c r="M57" s="1">
        <f t="shared" si="2"/>
        <v>0.89442719099991375</v>
      </c>
      <c r="N57" s="1">
        <f t="shared" si="3"/>
        <v>8.8888888888888268E-2</v>
      </c>
    </row>
    <row r="58" spans="4:14">
      <c r="D58">
        <v>2</v>
      </c>
      <c r="E58">
        <v>2</v>
      </c>
      <c r="F58" s="1">
        <v>-0.77459666924148296</v>
      </c>
      <c r="G58" s="1">
        <v>0</v>
      </c>
      <c r="H58" s="1">
        <f>8/9</f>
        <v>0.88888888888888884</v>
      </c>
      <c r="I58" s="1">
        <f>8/9</f>
        <v>0.88888888888888884</v>
      </c>
      <c r="J58">
        <v>1</v>
      </c>
      <c r="K58" s="1">
        <f t="shared" si="0"/>
        <v>0</v>
      </c>
      <c r="L58" s="1">
        <f t="shared" si="1"/>
        <v>0.89442719099991375</v>
      </c>
      <c r="M58" s="1">
        <f t="shared" si="2"/>
        <v>-1.1180339887498949</v>
      </c>
      <c r="N58" s="1">
        <f t="shared" si="3"/>
        <v>0</v>
      </c>
    </row>
    <row r="59" spans="4:14">
      <c r="D59">
        <v>2</v>
      </c>
      <c r="E59">
        <v>2</v>
      </c>
      <c r="F59" s="1">
        <v>-0.77459666924148296</v>
      </c>
      <c r="G59" s="1">
        <v>0.77459666924148296</v>
      </c>
      <c r="H59" s="1">
        <f>H57</f>
        <v>0.55555555555555558</v>
      </c>
      <c r="I59" s="1">
        <f>I57</f>
        <v>0.55555555555555558</v>
      </c>
      <c r="J59">
        <v>1</v>
      </c>
      <c r="K59" s="1">
        <f t="shared" si="0"/>
        <v>0.35999999999999915</v>
      </c>
      <c r="L59" s="1">
        <f t="shared" si="1"/>
        <v>0.89442719099991375</v>
      </c>
      <c r="M59" s="1">
        <f t="shared" si="2"/>
        <v>0.89442719099991375</v>
      </c>
      <c r="N59" s="1">
        <f t="shared" si="3"/>
        <v>8.8888888888888268E-2</v>
      </c>
    </row>
    <row r="60" spans="4:14">
      <c r="D60">
        <v>2</v>
      </c>
      <c r="E60">
        <v>2</v>
      </c>
      <c r="F60" s="1">
        <v>0</v>
      </c>
      <c r="G60" s="1">
        <v>-0.77459666924148296</v>
      </c>
      <c r="H60" s="1">
        <f>5/9</f>
        <v>0.55555555555555558</v>
      </c>
      <c r="I60" s="1">
        <f>5/9</f>
        <v>0.55555555555555558</v>
      </c>
      <c r="J60">
        <v>1</v>
      </c>
      <c r="K60" s="1">
        <f t="shared" si="0"/>
        <v>0</v>
      </c>
      <c r="L60" s="1">
        <f t="shared" si="1"/>
        <v>-1.1180339887498949</v>
      </c>
      <c r="M60" s="1">
        <f t="shared" si="2"/>
        <v>0.89442719099991375</v>
      </c>
      <c r="N60" s="1">
        <f t="shared" si="3"/>
        <v>0</v>
      </c>
    </row>
    <row r="61" spans="4:14">
      <c r="D61">
        <v>2</v>
      </c>
      <c r="E61">
        <v>2</v>
      </c>
      <c r="F61" s="1">
        <v>0</v>
      </c>
      <c r="G61" s="1">
        <v>0</v>
      </c>
      <c r="H61" s="1">
        <f>8/9</f>
        <v>0.88888888888888884</v>
      </c>
      <c r="I61" s="1">
        <f>8/9</f>
        <v>0.88888888888888884</v>
      </c>
      <c r="J61">
        <v>1</v>
      </c>
      <c r="K61" s="1">
        <f t="shared" si="0"/>
        <v>0</v>
      </c>
      <c r="L61" s="1">
        <f t="shared" si="1"/>
        <v>-1.1180339887498949</v>
      </c>
      <c r="M61" s="1">
        <f t="shared" si="2"/>
        <v>-1.1180339887498949</v>
      </c>
      <c r="N61" s="1">
        <f t="shared" si="3"/>
        <v>0</v>
      </c>
    </row>
    <row r="62" spans="4:14">
      <c r="D62">
        <v>2</v>
      </c>
      <c r="E62">
        <v>2</v>
      </c>
      <c r="F62" s="1">
        <v>0</v>
      </c>
      <c r="G62" s="1">
        <v>0.77459666924148296</v>
      </c>
      <c r="H62" s="1">
        <f>H60</f>
        <v>0.55555555555555558</v>
      </c>
      <c r="I62" s="1">
        <f>I60</f>
        <v>0.55555555555555558</v>
      </c>
      <c r="J62">
        <v>1</v>
      </c>
      <c r="K62" s="1">
        <f t="shared" si="0"/>
        <v>0</v>
      </c>
      <c r="L62" s="1">
        <f t="shared" si="1"/>
        <v>-1.1180339887498949</v>
      </c>
      <c r="M62" s="1">
        <f t="shared" si="2"/>
        <v>0.89442719099991375</v>
      </c>
      <c r="N62" s="1">
        <f t="shared" si="3"/>
        <v>0</v>
      </c>
    </row>
    <row r="63" spans="4:14">
      <c r="D63">
        <v>2</v>
      </c>
      <c r="E63">
        <v>2</v>
      </c>
      <c r="F63" s="1">
        <v>0.77459666924148296</v>
      </c>
      <c r="G63" s="1">
        <v>-0.77459666924148296</v>
      </c>
      <c r="H63" s="1">
        <f>5/9</f>
        <v>0.55555555555555558</v>
      </c>
      <c r="I63" s="1">
        <f>5/9</f>
        <v>0.55555555555555558</v>
      </c>
      <c r="J63">
        <v>1</v>
      </c>
      <c r="K63" s="1">
        <f t="shared" si="0"/>
        <v>0.35999999999999915</v>
      </c>
      <c r="L63" s="1">
        <f t="shared" si="1"/>
        <v>0.89442719099991375</v>
      </c>
      <c r="M63" s="1">
        <f t="shared" si="2"/>
        <v>0.89442719099991375</v>
      </c>
      <c r="N63" s="1">
        <f t="shared" si="3"/>
        <v>8.8888888888888268E-2</v>
      </c>
    </row>
    <row r="64" spans="4:14">
      <c r="D64">
        <v>2</v>
      </c>
      <c r="E64">
        <v>2</v>
      </c>
      <c r="F64" s="1">
        <v>0.77459666924148296</v>
      </c>
      <c r="G64" s="1">
        <v>0</v>
      </c>
      <c r="H64" s="1">
        <f>8/9</f>
        <v>0.88888888888888884</v>
      </c>
      <c r="I64" s="1">
        <f>8/9</f>
        <v>0.88888888888888884</v>
      </c>
      <c r="J64">
        <v>1</v>
      </c>
      <c r="K64" s="1">
        <f t="shared" si="0"/>
        <v>0</v>
      </c>
      <c r="L64" s="1">
        <f t="shared" si="1"/>
        <v>0.89442719099991375</v>
      </c>
      <c r="M64" s="1">
        <f t="shared" si="2"/>
        <v>-1.1180339887498949</v>
      </c>
      <c r="N64" s="1">
        <f t="shared" si="3"/>
        <v>0</v>
      </c>
    </row>
    <row r="65" spans="4:16">
      <c r="D65">
        <v>2</v>
      </c>
      <c r="E65">
        <v>2</v>
      </c>
      <c r="F65" s="1">
        <v>0.77459666924148296</v>
      </c>
      <c r="G65" s="1">
        <v>0.77459666924148296</v>
      </c>
      <c r="H65" s="1">
        <f>H63</f>
        <v>0.55555555555555558</v>
      </c>
      <c r="I65" s="1">
        <f>I63</f>
        <v>0.55555555555555558</v>
      </c>
      <c r="J65">
        <v>1</v>
      </c>
      <c r="K65" s="1">
        <f t="shared" si="0"/>
        <v>0.35999999999999915</v>
      </c>
      <c r="L65" s="1">
        <f t="shared" si="1"/>
        <v>0.89442719099991375</v>
      </c>
      <c r="M65" s="1">
        <f t="shared" si="2"/>
        <v>0.89442719099991375</v>
      </c>
      <c r="N65" s="1">
        <f t="shared" si="3"/>
        <v>8.8888888888888268E-2</v>
      </c>
      <c r="P65">
        <f>4/45</f>
        <v>8.8888888888888892E-2</v>
      </c>
    </row>
    <row r="66" spans="4:16">
      <c r="N66">
        <f>SUM(N2:N65)</f>
        <v>0.35555555555555307</v>
      </c>
      <c r="O66" t="s">
        <v>21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Q66"/>
  <sheetViews>
    <sheetView workbookViewId="0">
      <pane ySplit="1" topLeftCell="A2" activePane="bottomLeft" state="frozen"/>
      <selection pane="bottomLeft" activeCell="O72" sqref="O72"/>
    </sheetView>
  </sheetViews>
  <sheetFormatPr baseColWidth="10" defaultColWidth="8.83203125" defaultRowHeight="14" x14ac:dyDescent="0"/>
  <sheetData>
    <row r="1" spans="1:17">
      <c r="A1" t="s">
        <v>13</v>
      </c>
      <c r="B1">
        <v>1</v>
      </c>
      <c r="D1" t="s">
        <v>17</v>
      </c>
      <c r="E1" t="s">
        <v>18</v>
      </c>
      <c r="F1" t="s">
        <v>9</v>
      </c>
      <c r="H1" t="s">
        <v>10</v>
      </c>
      <c r="J1" t="s">
        <v>16</v>
      </c>
      <c r="K1" t="s">
        <v>11</v>
      </c>
      <c r="L1" t="s">
        <v>19</v>
      </c>
      <c r="M1" t="s">
        <v>20</v>
      </c>
      <c r="N1" t="s">
        <v>12</v>
      </c>
      <c r="O1" t="s">
        <v>22</v>
      </c>
    </row>
    <row r="2" spans="1:17">
      <c r="A2" t="s">
        <v>14</v>
      </c>
      <c r="B2" t="s">
        <v>15</v>
      </c>
      <c r="F2" t="s">
        <v>2</v>
      </c>
      <c r="G2" t="s">
        <v>3</v>
      </c>
      <c r="H2" t="s">
        <v>2</v>
      </c>
      <c r="I2" t="s">
        <v>3</v>
      </c>
      <c r="O2">
        <f>N66</f>
        <v>0.44444444444444131</v>
      </c>
    </row>
    <row r="3" spans="1:17">
      <c r="A3">
        <v>0</v>
      </c>
      <c r="B3">
        <v>2</v>
      </c>
      <c r="D3">
        <v>0</v>
      </c>
      <c r="E3">
        <v>3</v>
      </c>
      <c r="F3">
        <v>0</v>
      </c>
      <c r="G3">
        <f>-G6</f>
        <v>-0.86113631159405202</v>
      </c>
      <c r="H3">
        <f>B3</f>
        <v>2</v>
      </c>
      <c r="I3">
        <v>0.34785484513745302</v>
      </c>
      <c r="J3">
        <v>-1</v>
      </c>
      <c r="K3">
        <f>F3^2*G3^2</f>
        <v>0</v>
      </c>
      <c r="L3">
        <f>Legendre(0,F3)</f>
        <v>1</v>
      </c>
      <c r="M3">
        <f>Legendre(0,G3)</f>
        <v>1</v>
      </c>
      <c r="N3">
        <f>PRODUCT(H3:M3)</f>
        <v>0</v>
      </c>
    </row>
    <row r="4" spans="1:17">
      <c r="D4">
        <v>0</v>
      </c>
      <c r="E4">
        <v>3</v>
      </c>
      <c r="F4">
        <v>0</v>
      </c>
      <c r="G4">
        <f>-G5</f>
        <v>-0.33998104358485598</v>
      </c>
      <c r="H4">
        <f>H3</f>
        <v>2</v>
      </c>
      <c r="I4">
        <v>0.65214515486254598</v>
      </c>
      <c r="J4">
        <v>-1</v>
      </c>
      <c r="K4">
        <f t="shared" ref="K4:K65" si="0">F4^2*G4^2</f>
        <v>0</v>
      </c>
      <c r="L4">
        <f t="shared" ref="L4:L65" si="1">Legendre(0,F4)</f>
        <v>1</v>
      </c>
      <c r="M4">
        <f t="shared" ref="M4:M65" si="2">Legendre(0,G4)</f>
        <v>1</v>
      </c>
      <c r="N4">
        <f t="shared" ref="N4:N65" si="3">PRODUCT(H4:M4)</f>
        <v>0</v>
      </c>
    </row>
    <row r="5" spans="1:17">
      <c r="A5" t="s">
        <v>13</v>
      </c>
      <c r="B5">
        <v>2</v>
      </c>
      <c r="D5">
        <v>0</v>
      </c>
      <c r="E5">
        <v>3</v>
      </c>
      <c r="F5">
        <v>0</v>
      </c>
      <c r="G5">
        <v>0.33998104358485598</v>
      </c>
      <c r="H5">
        <f t="shared" ref="H5:H6" si="4">H4</f>
        <v>2</v>
      </c>
      <c r="I5">
        <v>0.65214515486254598</v>
      </c>
      <c r="J5">
        <v>-1</v>
      </c>
      <c r="K5">
        <f t="shared" si="0"/>
        <v>0</v>
      </c>
      <c r="L5">
        <f t="shared" si="1"/>
        <v>1</v>
      </c>
      <c r="M5">
        <f t="shared" si="2"/>
        <v>1</v>
      </c>
      <c r="N5">
        <f t="shared" si="3"/>
        <v>0</v>
      </c>
      <c r="Q5" t="s">
        <v>23</v>
      </c>
    </row>
    <row r="6" spans="1:17">
      <c r="A6" t="s">
        <v>14</v>
      </c>
      <c r="B6" t="s">
        <v>15</v>
      </c>
      <c r="D6">
        <v>0</v>
      </c>
      <c r="E6">
        <v>3</v>
      </c>
      <c r="F6">
        <v>0</v>
      </c>
      <c r="G6">
        <v>0.86113631159405202</v>
      </c>
      <c r="H6">
        <f t="shared" si="4"/>
        <v>2</v>
      </c>
      <c r="I6">
        <v>0.34785484513745302</v>
      </c>
      <c r="J6">
        <v>-1</v>
      </c>
      <c r="K6">
        <f t="shared" si="0"/>
        <v>0</v>
      </c>
      <c r="L6">
        <f t="shared" si="1"/>
        <v>1</v>
      </c>
      <c r="M6">
        <f t="shared" si="2"/>
        <v>1</v>
      </c>
      <c r="N6">
        <f t="shared" si="3"/>
        <v>0</v>
      </c>
    </row>
    <row r="7" spans="1:17">
      <c r="A7">
        <v>0.57735026918962495</v>
      </c>
      <c r="B7">
        <v>1</v>
      </c>
      <c r="D7">
        <v>3</v>
      </c>
      <c r="E7">
        <v>0</v>
      </c>
      <c r="F7">
        <f>-F10</f>
        <v>-0.86113631159405202</v>
      </c>
      <c r="G7">
        <v>0</v>
      </c>
      <c r="H7">
        <v>0.34785484513745302</v>
      </c>
      <c r="I7">
        <f>B3</f>
        <v>2</v>
      </c>
      <c r="J7">
        <v>-1</v>
      </c>
      <c r="K7">
        <f t="shared" si="0"/>
        <v>0</v>
      </c>
      <c r="L7">
        <f t="shared" si="1"/>
        <v>1</v>
      </c>
      <c r="M7">
        <f t="shared" si="2"/>
        <v>1</v>
      </c>
      <c r="N7">
        <f t="shared" si="3"/>
        <v>0</v>
      </c>
    </row>
    <row r="8" spans="1:17">
      <c r="A8">
        <f>-A7</f>
        <v>-0.57735026918962495</v>
      </c>
      <c r="B8">
        <v>1</v>
      </c>
      <c r="D8">
        <v>3</v>
      </c>
      <c r="E8">
        <v>0</v>
      </c>
      <c r="F8">
        <f>-F9</f>
        <v>-0.33998104358485598</v>
      </c>
      <c r="G8">
        <v>0</v>
      </c>
      <c r="H8">
        <v>0.65214515486254598</v>
      </c>
      <c r="I8">
        <f>I7</f>
        <v>2</v>
      </c>
      <c r="J8">
        <v>-1</v>
      </c>
      <c r="K8">
        <f t="shared" si="0"/>
        <v>0</v>
      </c>
      <c r="L8">
        <f t="shared" si="1"/>
        <v>1</v>
      </c>
      <c r="M8">
        <f t="shared" si="2"/>
        <v>1</v>
      </c>
      <c r="N8">
        <f t="shared" si="3"/>
        <v>0</v>
      </c>
    </row>
    <row r="9" spans="1:17">
      <c r="D9">
        <v>3</v>
      </c>
      <c r="E9">
        <v>0</v>
      </c>
      <c r="F9">
        <v>0.33998104358485598</v>
      </c>
      <c r="G9">
        <v>0</v>
      </c>
      <c r="H9">
        <v>0.65214515486254598</v>
      </c>
      <c r="I9">
        <f t="shared" ref="I9:I10" si="5">I8</f>
        <v>2</v>
      </c>
      <c r="J9">
        <v>-1</v>
      </c>
      <c r="K9">
        <f t="shared" si="0"/>
        <v>0</v>
      </c>
      <c r="L9">
        <f t="shared" si="1"/>
        <v>1</v>
      </c>
      <c r="M9">
        <f t="shared" si="2"/>
        <v>1</v>
      </c>
      <c r="N9">
        <f t="shared" si="3"/>
        <v>0</v>
      </c>
    </row>
    <row r="10" spans="1:17">
      <c r="A10" t="s">
        <v>13</v>
      </c>
      <c r="B10">
        <v>3</v>
      </c>
      <c r="D10">
        <v>3</v>
      </c>
      <c r="E10">
        <v>0</v>
      </c>
      <c r="F10">
        <v>0.86113631159405202</v>
      </c>
      <c r="G10">
        <v>0</v>
      </c>
      <c r="H10">
        <v>0.34785484513745302</v>
      </c>
      <c r="I10">
        <f t="shared" si="5"/>
        <v>2</v>
      </c>
      <c r="J10">
        <v>-1</v>
      </c>
      <c r="K10">
        <f t="shared" si="0"/>
        <v>0</v>
      </c>
      <c r="L10">
        <f t="shared" si="1"/>
        <v>1</v>
      </c>
      <c r="M10">
        <f t="shared" si="2"/>
        <v>1</v>
      </c>
      <c r="N10">
        <f t="shared" si="3"/>
        <v>0</v>
      </c>
    </row>
    <row r="11" spans="1:17">
      <c r="A11" t="s">
        <v>14</v>
      </c>
      <c r="B11" t="s">
        <v>15</v>
      </c>
      <c r="D11">
        <v>0</v>
      </c>
      <c r="E11">
        <v>8</v>
      </c>
      <c r="F11">
        <v>0</v>
      </c>
      <c r="G11">
        <f>-G19</f>
        <v>-0.96816023950762597</v>
      </c>
      <c r="H11">
        <v>2</v>
      </c>
      <c r="I11">
        <v>8.1274388361574398E-2</v>
      </c>
      <c r="J11">
        <v>1</v>
      </c>
      <c r="K11">
        <f t="shared" si="0"/>
        <v>0</v>
      </c>
      <c r="L11">
        <f t="shared" si="1"/>
        <v>1</v>
      </c>
      <c r="M11">
        <f t="shared" si="2"/>
        <v>1</v>
      </c>
      <c r="N11">
        <f t="shared" si="3"/>
        <v>0</v>
      </c>
    </row>
    <row r="12" spans="1:17">
      <c r="A12">
        <v>0.77459666924148296</v>
      </c>
      <c r="B12">
        <f>5/9</f>
        <v>0.55555555555555558</v>
      </c>
      <c r="D12">
        <v>0</v>
      </c>
      <c r="E12">
        <v>8</v>
      </c>
      <c r="F12">
        <v>0</v>
      </c>
      <c r="G12">
        <f>-G18</f>
        <v>-0.83603110732663499</v>
      </c>
      <c r="H12">
        <v>2</v>
      </c>
      <c r="I12">
        <v>0.18064816069485701</v>
      </c>
      <c r="J12">
        <v>1</v>
      </c>
      <c r="K12">
        <f t="shared" si="0"/>
        <v>0</v>
      </c>
      <c r="L12">
        <f t="shared" si="1"/>
        <v>1</v>
      </c>
      <c r="M12">
        <f t="shared" si="2"/>
        <v>1</v>
      </c>
      <c r="N12">
        <f t="shared" si="3"/>
        <v>0</v>
      </c>
    </row>
    <row r="13" spans="1:17">
      <c r="A13">
        <v>0</v>
      </c>
      <c r="B13">
        <f>8/9</f>
        <v>0.88888888888888884</v>
      </c>
      <c r="D13">
        <v>0</v>
      </c>
      <c r="E13">
        <v>8</v>
      </c>
      <c r="F13">
        <v>0</v>
      </c>
      <c r="G13">
        <f>-G17</f>
        <v>-0.61337143270059002</v>
      </c>
      <c r="H13">
        <v>2</v>
      </c>
      <c r="I13">
        <v>0.26061069640293499</v>
      </c>
      <c r="J13">
        <v>1</v>
      </c>
      <c r="K13">
        <f t="shared" si="0"/>
        <v>0</v>
      </c>
      <c r="L13">
        <f t="shared" si="1"/>
        <v>1</v>
      </c>
      <c r="M13">
        <f t="shared" si="2"/>
        <v>1</v>
      </c>
      <c r="N13">
        <f t="shared" si="3"/>
        <v>0</v>
      </c>
    </row>
    <row r="14" spans="1:17">
      <c r="A14">
        <f>-A12</f>
        <v>-0.77459666924148296</v>
      </c>
      <c r="B14">
        <f>B12</f>
        <v>0.55555555555555558</v>
      </c>
      <c r="D14">
        <v>0</v>
      </c>
      <c r="E14">
        <v>8</v>
      </c>
      <c r="F14">
        <v>0</v>
      </c>
      <c r="G14">
        <f>-G16</f>
        <v>-0.32425342340380803</v>
      </c>
      <c r="H14">
        <v>2</v>
      </c>
      <c r="I14">
        <v>0.31234707704000197</v>
      </c>
      <c r="J14">
        <v>1</v>
      </c>
      <c r="K14">
        <f t="shared" si="0"/>
        <v>0</v>
      </c>
      <c r="L14">
        <f t="shared" si="1"/>
        <v>1</v>
      </c>
      <c r="M14">
        <f t="shared" si="2"/>
        <v>1</v>
      </c>
      <c r="N14">
        <f t="shared" si="3"/>
        <v>0</v>
      </c>
    </row>
    <row r="15" spans="1:17">
      <c r="D15">
        <v>0</v>
      </c>
      <c r="E15">
        <v>8</v>
      </c>
      <c r="F15">
        <v>0</v>
      </c>
      <c r="G15">
        <v>0</v>
      </c>
      <c r="H15">
        <v>2</v>
      </c>
      <c r="I15">
        <v>0.33023935500125901</v>
      </c>
      <c r="J15">
        <v>1</v>
      </c>
      <c r="K15">
        <f t="shared" si="0"/>
        <v>0</v>
      </c>
      <c r="L15">
        <f t="shared" si="1"/>
        <v>1</v>
      </c>
      <c r="M15">
        <f t="shared" si="2"/>
        <v>1</v>
      </c>
      <c r="N15">
        <f t="shared" si="3"/>
        <v>0</v>
      </c>
    </row>
    <row r="16" spans="1:17">
      <c r="A16" t="s">
        <v>13</v>
      </c>
      <c r="B16">
        <v>4</v>
      </c>
      <c r="D16">
        <v>0</v>
      </c>
      <c r="E16">
        <v>8</v>
      </c>
      <c r="F16">
        <v>0</v>
      </c>
      <c r="G16">
        <v>0.32425342340380803</v>
      </c>
      <c r="H16">
        <v>2</v>
      </c>
      <c r="I16">
        <v>0.31234707704000197</v>
      </c>
      <c r="J16">
        <v>1</v>
      </c>
      <c r="K16">
        <f t="shared" si="0"/>
        <v>0</v>
      </c>
      <c r="L16">
        <f t="shared" si="1"/>
        <v>1</v>
      </c>
      <c r="M16">
        <f t="shared" si="2"/>
        <v>1</v>
      </c>
      <c r="N16">
        <f t="shared" si="3"/>
        <v>0</v>
      </c>
    </row>
    <row r="17" spans="1:14">
      <c r="A17" t="s">
        <v>14</v>
      </c>
      <c r="B17" t="s">
        <v>15</v>
      </c>
      <c r="D17">
        <v>0</v>
      </c>
      <c r="E17">
        <v>8</v>
      </c>
      <c r="F17">
        <v>0</v>
      </c>
      <c r="G17">
        <v>0.61337143270059002</v>
      </c>
      <c r="H17">
        <v>2</v>
      </c>
      <c r="I17">
        <v>0.26061069640293499</v>
      </c>
      <c r="J17">
        <v>1</v>
      </c>
      <c r="K17">
        <f t="shared" si="0"/>
        <v>0</v>
      </c>
      <c r="L17">
        <f t="shared" si="1"/>
        <v>1</v>
      </c>
      <c r="M17">
        <f t="shared" si="2"/>
        <v>1</v>
      </c>
      <c r="N17">
        <f t="shared" si="3"/>
        <v>0</v>
      </c>
    </row>
    <row r="18" spans="1:14">
      <c r="A18">
        <f>-A21</f>
        <v>-0.86113631159405202</v>
      </c>
      <c r="B18">
        <v>0.34785484513745302</v>
      </c>
      <c r="D18">
        <v>0</v>
      </c>
      <c r="E18">
        <v>8</v>
      </c>
      <c r="F18">
        <v>0</v>
      </c>
      <c r="G18">
        <v>0.83603110732663499</v>
      </c>
      <c r="H18">
        <v>2</v>
      </c>
      <c r="I18">
        <v>0.18064816069485701</v>
      </c>
      <c r="J18">
        <v>1</v>
      </c>
      <c r="K18">
        <f t="shared" si="0"/>
        <v>0</v>
      </c>
      <c r="L18">
        <f t="shared" si="1"/>
        <v>1</v>
      </c>
      <c r="M18">
        <f t="shared" si="2"/>
        <v>1</v>
      </c>
      <c r="N18">
        <f t="shared" si="3"/>
        <v>0</v>
      </c>
    </row>
    <row r="19" spans="1:14">
      <c r="A19">
        <f>-A20</f>
        <v>-0.33998104358485598</v>
      </c>
      <c r="B19">
        <v>0.65214515486254598</v>
      </c>
      <c r="D19">
        <v>0</v>
      </c>
      <c r="E19">
        <v>8</v>
      </c>
      <c r="F19">
        <v>0</v>
      </c>
      <c r="G19">
        <v>0.96816023950762597</v>
      </c>
      <c r="H19">
        <v>2</v>
      </c>
      <c r="I19">
        <v>8.1274388361574398E-2</v>
      </c>
      <c r="J19">
        <v>1</v>
      </c>
      <c r="K19">
        <f t="shared" si="0"/>
        <v>0</v>
      </c>
      <c r="L19">
        <f t="shared" si="1"/>
        <v>1</v>
      </c>
      <c r="M19">
        <f t="shared" si="2"/>
        <v>1</v>
      </c>
      <c r="N19">
        <f t="shared" si="3"/>
        <v>0</v>
      </c>
    </row>
    <row r="20" spans="1:14">
      <c r="A20">
        <v>0.33998104358485598</v>
      </c>
      <c r="B20">
        <v>0.65214515486254598</v>
      </c>
      <c r="D20">
        <v>8</v>
      </c>
      <c r="E20">
        <v>0</v>
      </c>
      <c r="F20">
        <f>-F28</f>
        <v>-0.96816023950762597</v>
      </c>
      <c r="G20">
        <v>0</v>
      </c>
      <c r="H20">
        <v>8.1274388361574398E-2</v>
      </c>
      <c r="I20">
        <v>2</v>
      </c>
      <c r="J20">
        <v>1</v>
      </c>
      <c r="K20">
        <f t="shared" si="0"/>
        <v>0</v>
      </c>
      <c r="L20">
        <f t="shared" si="1"/>
        <v>1</v>
      </c>
      <c r="M20">
        <f t="shared" si="2"/>
        <v>1</v>
      </c>
      <c r="N20">
        <f t="shared" si="3"/>
        <v>0</v>
      </c>
    </row>
    <row r="21" spans="1:14">
      <c r="A21">
        <v>0.86113631159405202</v>
      </c>
      <c r="B21">
        <v>0.34785484513745302</v>
      </c>
      <c r="D21">
        <v>8</v>
      </c>
      <c r="E21">
        <v>0</v>
      </c>
      <c r="F21">
        <f>-F27</f>
        <v>-0.83603110732663499</v>
      </c>
      <c r="G21">
        <v>0</v>
      </c>
      <c r="H21">
        <v>0.18064816069485701</v>
      </c>
      <c r="I21">
        <v>2</v>
      </c>
      <c r="J21">
        <v>1</v>
      </c>
      <c r="K21">
        <f t="shared" si="0"/>
        <v>0</v>
      </c>
      <c r="L21">
        <f t="shared" si="1"/>
        <v>1</v>
      </c>
      <c r="M21">
        <f t="shared" si="2"/>
        <v>1</v>
      </c>
      <c r="N21">
        <f t="shared" si="3"/>
        <v>0</v>
      </c>
    </row>
    <row r="22" spans="1:14">
      <c r="D22">
        <v>8</v>
      </c>
      <c r="E22">
        <v>0</v>
      </c>
      <c r="F22">
        <f>-F26</f>
        <v>-0.61337143270059002</v>
      </c>
      <c r="G22">
        <v>0</v>
      </c>
      <c r="H22">
        <v>0.26061069640293499</v>
      </c>
      <c r="I22">
        <v>2</v>
      </c>
      <c r="J22">
        <v>1</v>
      </c>
      <c r="K22">
        <f t="shared" si="0"/>
        <v>0</v>
      </c>
      <c r="L22">
        <f t="shared" si="1"/>
        <v>1</v>
      </c>
      <c r="M22">
        <f t="shared" si="2"/>
        <v>1</v>
      </c>
      <c r="N22">
        <f t="shared" si="3"/>
        <v>0</v>
      </c>
    </row>
    <row r="23" spans="1:14">
      <c r="A23" t="s">
        <v>13</v>
      </c>
      <c r="B23">
        <v>9</v>
      </c>
      <c r="D23">
        <v>8</v>
      </c>
      <c r="E23">
        <v>0</v>
      </c>
      <c r="F23">
        <f>-F25</f>
        <v>-0.32425342340380803</v>
      </c>
      <c r="G23">
        <v>0</v>
      </c>
      <c r="H23">
        <v>0.31234707704000197</v>
      </c>
      <c r="I23">
        <v>2</v>
      </c>
      <c r="J23">
        <v>1</v>
      </c>
      <c r="K23">
        <f t="shared" si="0"/>
        <v>0</v>
      </c>
      <c r="L23">
        <f t="shared" si="1"/>
        <v>1</v>
      </c>
      <c r="M23">
        <f t="shared" si="2"/>
        <v>1</v>
      </c>
      <c r="N23">
        <f t="shared" si="3"/>
        <v>0</v>
      </c>
    </row>
    <row r="24" spans="1:14">
      <c r="A24" t="s">
        <v>14</v>
      </c>
      <c r="B24" t="s">
        <v>15</v>
      </c>
      <c r="D24">
        <v>8</v>
      </c>
      <c r="E24">
        <v>0</v>
      </c>
      <c r="F24">
        <v>0</v>
      </c>
      <c r="G24">
        <v>0</v>
      </c>
      <c r="H24">
        <v>0.33023935500125901</v>
      </c>
      <c r="I24">
        <v>2</v>
      </c>
      <c r="J24">
        <v>1</v>
      </c>
      <c r="K24">
        <f t="shared" si="0"/>
        <v>0</v>
      </c>
      <c r="L24">
        <f t="shared" si="1"/>
        <v>1</v>
      </c>
      <c r="M24">
        <f t="shared" si="2"/>
        <v>1</v>
      </c>
      <c r="N24">
        <f t="shared" si="3"/>
        <v>0</v>
      </c>
    </row>
    <row r="25" spans="1:14">
      <c r="A25">
        <f>-A33</f>
        <v>-0.96816023950762597</v>
      </c>
      <c r="B25">
        <v>8.1274388361574398E-2</v>
      </c>
      <c r="D25">
        <v>8</v>
      </c>
      <c r="E25">
        <v>0</v>
      </c>
      <c r="F25">
        <v>0.32425342340380803</v>
      </c>
      <c r="G25">
        <v>0</v>
      </c>
      <c r="H25">
        <v>0.31234707704000197</v>
      </c>
      <c r="I25">
        <v>2</v>
      </c>
      <c r="J25">
        <v>1</v>
      </c>
      <c r="K25">
        <f t="shared" si="0"/>
        <v>0</v>
      </c>
      <c r="L25">
        <f t="shared" si="1"/>
        <v>1</v>
      </c>
      <c r="M25">
        <f t="shared" si="2"/>
        <v>1</v>
      </c>
      <c r="N25">
        <f t="shared" si="3"/>
        <v>0</v>
      </c>
    </row>
    <row r="26" spans="1:14">
      <c r="A26">
        <f>-A32</f>
        <v>-0.83603110732663499</v>
      </c>
      <c r="B26">
        <v>0.18064816069485701</v>
      </c>
      <c r="D26">
        <v>8</v>
      </c>
      <c r="E26">
        <v>0</v>
      </c>
      <c r="F26">
        <v>0.61337143270059002</v>
      </c>
      <c r="G26">
        <v>0</v>
      </c>
      <c r="H26">
        <v>0.26061069640293499</v>
      </c>
      <c r="I26">
        <v>2</v>
      </c>
      <c r="J26">
        <v>1</v>
      </c>
      <c r="K26">
        <f t="shared" si="0"/>
        <v>0</v>
      </c>
      <c r="L26">
        <f t="shared" si="1"/>
        <v>1</v>
      </c>
      <c r="M26">
        <f t="shared" si="2"/>
        <v>1</v>
      </c>
      <c r="N26">
        <f t="shared" si="3"/>
        <v>0</v>
      </c>
    </row>
    <row r="27" spans="1:14">
      <c r="A27">
        <f>-A31</f>
        <v>-0.61337143270059002</v>
      </c>
      <c r="B27">
        <v>0.26061069640293499</v>
      </c>
      <c r="D27">
        <v>8</v>
      </c>
      <c r="E27">
        <v>0</v>
      </c>
      <c r="F27">
        <v>0.83603110732663499</v>
      </c>
      <c r="G27">
        <v>0</v>
      </c>
      <c r="H27">
        <v>0.18064816069485701</v>
      </c>
      <c r="I27">
        <v>2</v>
      </c>
      <c r="J27">
        <v>1</v>
      </c>
      <c r="K27">
        <f t="shared" si="0"/>
        <v>0</v>
      </c>
      <c r="L27">
        <f t="shared" si="1"/>
        <v>1</v>
      </c>
      <c r="M27">
        <f t="shared" si="2"/>
        <v>1</v>
      </c>
      <c r="N27">
        <f t="shared" si="3"/>
        <v>0</v>
      </c>
    </row>
    <row r="28" spans="1:14">
      <c r="A28">
        <f>-A30</f>
        <v>-0.32425342340380803</v>
      </c>
      <c r="B28">
        <v>0.31234707704000197</v>
      </c>
      <c r="D28">
        <v>8</v>
      </c>
      <c r="E28">
        <v>0</v>
      </c>
      <c r="F28">
        <v>0.96816023950762597</v>
      </c>
      <c r="G28">
        <v>0</v>
      </c>
      <c r="H28">
        <v>8.1274388361574398E-2</v>
      </c>
      <c r="I28">
        <v>2</v>
      </c>
      <c r="J28">
        <v>1</v>
      </c>
      <c r="K28">
        <f t="shared" si="0"/>
        <v>0</v>
      </c>
      <c r="L28">
        <f t="shared" si="1"/>
        <v>1</v>
      </c>
      <c r="M28">
        <f t="shared" si="2"/>
        <v>1</v>
      </c>
      <c r="N28">
        <f t="shared" si="3"/>
        <v>0</v>
      </c>
    </row>
    <row r="29" spans="1:14">
      <c r="A29">
        <v>0</v>
      </c>
      <c r="B29">
        <v>0.33023935500125901</v>
      </c>
      <c r="D29">
        <v>1</v>
      </c>
      <c r="E29">
        <v>2</v>
      </c>
      <c r="F29">
        <v>-0.57735026918962495</v>
      </c>
      <c r="G29">
        <v>0.77459666924148296</v>
      </c>
      <c r="H29">
        <v>1</v>
      </c>
      <c r="I29">
        <f>5/9</f>
        <v>0.55555555555555558</v>
      </c>
      <c r="J29">
        <v>-1</v>
      </c>
      <c r="K29">
        <f t="shared" si="0"/>
        <v>0.19999999999999921</v>
      </c>
      <c r="L29">
        <f t="shared" si="1"/>
        <v>1</v>
      </c>
      <c r="M29">
        <f t="shared" si="2"/>
        <v>1</v>
      </c>
      <c r="N29">
        <f t="shared" si="3"/>
        <v>-0.11111111111111067</v>
      </c>
    </row>
    <row r="30" spans="1:14">
      <c r="A30">
        <v>0.32425342340380803</v>
      </c>
      <c r="B30">
        <v>0.31234707704000197</v>
      </c>
      <c r="D30">
        <v>1</v>
      </c>
      <c r="E30">
        <v>2</v>
      </c>
      <c r="F30">
        <v>-0.57735026918962495</v>
      </c>
      <c r="G30">
        <v>0</v>
      </c>
      <c r="H30">
        <v>1</v>
      </c>
      <c r="I30">
        <f>8/9</f>
        <v>0.88888888888888884</v>
      </c>
      <c r="J30">
        <v>-1</v>
      </c>
      <c r="K30">
        <f t="shared" si="0"/>
        <v>0</v>
      </c>
      <c r="L30">
        <f t="shared" si="1"/>
        <v>1</v>
      </c>
      <c r="M30">
        <f t="shared" si="2"/>
        <v>1</v>
      </c>
      <c r="N30">
        <f t="shared" si="3"/>
        <v>0</v>
      </c>
    </row>
    <row r="31" spans="1:14">
      <c r="A31">
        <v>0.61337143270059002</v>
      </c>
      <c r="B31">
        <v>0.26061069640293499</v>
      </c>
      <c r="D31">
        <v>1</v>
      </c>
      <c r="E31">
        <v>2</v>
      </c>
      <c r="F31">
        <v>-0.57735026918962495</v>
      </c>
      <c r="G31">
        <f>-G29</f>
        <v>-0.77459666924148296</v>
      </c>
      <c r="H31">
        <v>1</v>
      </c>
      <c r="I31">
        <f>I29</f>
        <v>0.55555555555555558</v>
      </c>
      <c r="J31">
        <v>-1</v>
      </c>
      <c r="K31">
        <f t="shared" si="0"/>
        <v>0.19999999999999921</v>
      </c>
      <c r="L31">
        <f t="shared" si="1"/>
        <v>1</v>
      </c>
      <c r="M31">
        <f t="shared" si="2"/>
        <v>1</v>
      </c>
      <c r="N31">
        <f t="shared" si="3"/>
        <v>-0.11111111111111067</v>
      </c>
    </row>
    <row r="32" spans="1:14">
      <c r="A32">
        <v>0.83603110732663499</v>
      </c>
      <c r="B32">
        <v>0.18064816069485701</v>
      </c>
      <c r="D32">
        <v>1</v>
      </c>
      <c r="E32">
        <v>2</v>
      </c>
      <c r="F32">
        <v>0.57735026918962495</v>
      </c>
      <c r="G32">
        <v>0.77459666924148296</v>
      </c>
      <c r="H32">
        <v>1</v>
      </c>
      <c r="I32">
        <f>5/9</f>
        <v>0.55555555555555558</v>
      </c>
      <c r="J32">
        <v>-1</v>
      </c>
      <c r="K32">
        <f t="shared" si="0"/>
        <v>0.19999999999999921</v>
      </c>
      <c r="L32">
        <f t="shared" si="1"/>
        <v>1</v>
      </c>
      <c r="M32">
        <f t="shared" si="2"/>
        <v>1</v>
      </c>
      <c r="N32">
        <f t="shared" si="3"/>
        <v>-0.11111111111111067</v>
      </c>
    </row>
    <row r="33" spans="1:14">
      <c r="A33">
        <v>0.96816023950762597</v>
      </c>
      <c r="B33">
        <v>8.1274388361574398E-2</v>
      </c>
      <c r="D33">
        <v>1</v>
      </c>
      <c r="E33">
        <v>2</v>
      </c>
      <c r="F33">
        <v>0.57735026918962495</v>
      </c>
      <c r="G33">
        <v>0</v>
      </c>
      <c r="H33">
        <v>1</v>
      </c>
      <c r="I33">
        <f>8/9</f>
        <v>0.88888888888888884</v>
      </c>
      <c r="J33">
        <v>-1</v>
      </c>
      <c r="K33">
        <f t="shared" si="0"/>
        <v>0</v>
      </c>
      <c r="L33">
        <f t="shared" si="1"/>
        <v>1</v>
      </c>
      <c r="M33">
        <f t="shared" si="2"/>
        <v>1</v>
      </c>
      <c r="N33">
        <f t="shared" si="3"/>
        <v>0</v>
      </c>
    </row>
    <row r="34" spans="1:14">
      <c r="D34">
        <v>1</v>
      </c>
      <c r="E34">
        <v>2</v>
      </c>
      <c r="F34">
        <v>0.57735026918962495</v>
      </c>
      <c r="G34">
        <f>-G32</f>
        <v>-0.77459666924148296</v>
      </c>
      <c r="H34">
        <v>1</v>
      </c>
      <c r="I34">
        <f>I32</f>
        <v>0.55555555555555558</v>
      </c>
      <c r="J34">
        <v>-1</v>
      </c>
      <c r="K34">
        <f t="shared" si="0"/>
        <v>0.19999999999999921</v>
      </c>
      <c r="L34">
        <f t="shared" si="1"/>
        <v>1</v>
      </c>
      <c r="M34">
        <f t="shared" si="2"/>
        <v>1</v>
      </c>
      <c r="N34">
        <f t="shared" si="3"/>
        <v>-0.11111111111111067</v>
      </c>
    </row>
    <row r="35" spans="1:14">
      <c r="D35">
        <v>2</v>
      </c>
      <c r="E35">
        <v>1</v>
      </c>
      <c r="F35">
        <v>0.77459666924148296</v>
      </c>
      <c r="G35">
        <v>-0.57735026918962495</v>
      </c>
      <c r="H35">
        <f>5/9</f>
        <v>0.55555555555555558</v>
      </c>
      <c r="I35">
        <v>1</v>
      </c>
      <c r="J35">
        <v>-1</v>
      </c>
      <c r="K35">
        <f t="shared" si="0"/>
        <v>0.19999999999999921</v>
      </c>
      <c r="L35">
        <f t="shared" si="1"/>
        <v>1</v>
      </c>
      <c r="M35">
        <f t="shared" si="2"/>
        <v>1</v>
      </c>
      <c r="N35">
        <f t="shared" si="3"/>
        <v>-0.11111111111111067</v>
      </c>
    </row>
    <row r="36" spans="1:14">
      <c r="D36">
        <v>2</v>
      </c>
      <c r="E36">
        <v>1</v>
      </c>
      <c r="F36">
        <v>0</v>
      </c>
      <c r="G36">
        <v>-0.57735026918962495</v>
      </c>
      <c r="H36">
        <f>8/9</f>
        <v>0.88888888888888884</v>
      </c>
      <c r="I36">
        <v>1</v>
      </c>
      <c r="J36">
        <v>-1</v>
      </c>
      <c r="K36">
        <f t="shared" si="0"/>
        <v>0</v>
      </c>
      <c r="L36">
        <f t="shared" si="1"/>
        <v>1</v>
      </c>
      <c r="M36">
        <f t="shared" si="2"/>
        <v>1</v>
      </c>
      <c r="N36">
        <f t="shared" si="3"/>
        <v>0</v>
      </c>
    </row>
    <row r="37" spans="1:14">
      <c r="D37">
        <v>2</v>
      </c>
      <c r="E37">
        <v>1</v>
      </c>
      <c r="F37">
        <f>-F35</f>
        <v>-0.77459666924148296</v>
      </c>
      <c r="G37">
        <v>-0.57735026918962495</v>
      </c>
      <c r="H37">
        <f>H35</f>
        <v>0.55555555555555558</v>
      </c>
      <c r="I37">
        <v>1</v>
      </c>
      <c r="J37">
        <v>-1</v>
      </c>
      <c r="K37">
        <f t="shared" si="0"/>
        <v>0.19999999999999921</v>
      </c>
      <c r="L37">
        <f t="shared" si="1"/>
        <v>1</v>
      </c>
      <c r="M37">
        <f t="shared" si="2"/>
        <v>1</v>
      </c>
      <c r="N37">
        <f t="shared" si="3"/>
        <v>-0.11111111111111067</v>
      </c>
    </row>
    <row r="38" spans="1:14">
      <c r="D38">
        <v>2</v>
      </c>
      <c r="E38">
        <v>1</v>
      </c>
      <c r="F38">
        <v>0.77459666924148296</v>
      </c>
      <c r="G38">
        <v>0.57735026918962495</v>
      </c>
      <c r="H38">
        <f>5/9</f>
        <v>0.55555555555555558</v>
      </c>
      <c r="I38">
        <v>1</v>
      </c>
      <c r="J38">
        <v>-1</v>
      </c>
      <c r="K38">
        <f t="shared" si="0"/>
        <v>0.19999999999999921</v>
      </c>
      <c r="L38">
        <f t="shared" si="1"/>
        <v>1</v>
      </c>
      <c r="M38">
        <f t="shared" si="2"/>
        <v>1</v>
      </c>
      <c r="N38">
        <f t="shared" si="3"/>
        <v>-0.11111111111111067</v>
      </c>
    </row>
    <row r="39" spans="1:14">
      <c r="D39">
        <v>2</v>
      </c>
      <c r="E39">
        <v>1</v>
      </c>
      <c r="F39">
        <v>0</v>
      </c>
      <c r="G39">
        <v>0.57735026918962495</v>
      </c>
      <c r="H39">
        <f>8/9</f>
        <v>0.88888888888888884</v>
      </c>
      <c r="I39">
        <v>1</v>
      </c>
      <c r="J39">
        <v>-1</v>
      </c>
      <c r="K39">
        <f t="shared" si="0"/>
        <v>0</v>
      </c>
      <c r="L39">
        <f t="shared" si="1"/>
        <v>1</v>
      </c>
      <c r="M39">
        <f t="shared" si="2"/>
        <v>1</v>
      </c>
      <c r="N39">
        <f t="shared" si="3"/>
        <v>0</v>
      </c>
    </row>
    <row r="40" spans="1:14">
      <c r="D40">
        <v>2</v>
      </c>
      <c r="E40">
        <v>1</v>
      </c>
      <c r="F40">
        <f>-F38</f>
        <v>-0.77459666924148296</v>
      </c>
      <c r="G40">
        <v>0.57735026918962495</v>
      </c>
      <c r="H40">
        <f>H38</f>
        <v>0.55555555555555558</v>
      </c>
      <c r="I40">
        <v>1</v>
      </c>
      <c r="J40">
        <v>-1</v>
      </c>
      <c r="K40">
        <f t="shared" si="0"/>
        <v>0.19999999999999921</v>
      </c>
      <c r="L40">
        <f t="shared" si="1"/>
        <v>1</v>
      </c>
      <c r="M40">
        <f t="shared" si="2"/>
        <v>1</v>
      </c>
      <c r="N40">
        <f t="shared" si="3"/>
        <v>-0.11111111111111067</v>
      </c>
    </row>
    <row r="41" spans="1:14">
      <c r="D41">
        <v>1</v>
      </c>
      <c r="E41">
        <v>3</v>
      </c>
      <c r="F41">
        <v>-0.57735026918962495</v>
      </c>
      <c r="G41">
        <f>-G44</f>
        <v>-0.86113631159405202</v>
      </c>
      <c r="H41">
        <v>1</v>
      </c>
      <c r="I41">
        <v>0.34785484513745302</v>
      </c>
      <c r="J41">
        <v>1</v>
      </c>
      <c r="K41">
        <f t="shared" si="0"/>
        <v>0.24718524904860206</v>
      </c>
      <c r="L41">
        <f t="shared" si="1"/>
        <v>1</v>
      </c>
      <c r="M41">
        <f t="shared" si="2"/>
        <v>1</v>
      </c>
      <c r="N41">
        <f t="shared" si="3"/>
        <v>8.5984586528064233E-2</v>
      </c>
    </row>
    <row r="42" spans="1:14">
      <c r="D42">
        <v>1</v>
      </c>
      <c r="E42">
        <v>3</v>
      </c>
      <c r="F42">
        <v>-0.57735026918962495</v>
      </c>
      <c r="G42">
        <f>-G43</f>
        <v>-0.33998104358485598</v>
      </c>
      <c r="H42">
        <v>1</v>
      </c>
      <c r="I42">
        <v>0.65214515486254598</v>
      </c>
      <c r="J42">
        <v>1</v>
      </c>
      <c r="K42">
        <f t="shared" si="0"/>
        <v>3.852903666568247E-2</v>
      </c>
      <c r="L42">
        <f t="shared" si="1"/>
        <v>1</v>
      </c>
      <c r="M42">
        <f t="shared" si="2"/>
        <v>1</v>
      </c>
      <c r="N42">
        <f t="shared" si="3"/>
        <v>2.5126524583046206E-2</v>
      </c>
    </row>
    <row r="43" spans="1:14">
      <c r="D43">
        <v>1</v>
      </c>
      <c r="E43">
        <v>3</v>
      </c>
      <c r="F43">
        <v>-0.57735026918962495</v>
      </c>
      <c r="G43">
        <v>0.33998104358485598</v>
      </c>
      <c r="H43">
        <v>1</v>
      </c>
      <c r="I43">
        <v>0.65214515486254598</v>
      </c>
      <c r="J43">
        <v>1</v>
      </c>
      <c r="K43">
        <f t="shared" si="0"/>
        <v>3.852903666568247E-2</v>
      </c>
      <c r="L43">
        <f t="shared" si="1"/>
        <v>1</v>
      </c>
      <c r="M43">
        <f t="shared" si="2"/>
        <v>1</v>
      </c>
      <c r="N43">
        <f t="shared" si="3"/>
        <v>2.5126524583046206E-2</v>
      </c>
    </row>
    <row r="44" spans="1:14">
      <c r="D44">
        <v>1</v>
      </c>
      <c r="E44">
        <v>3</v>
      </c>
      <c r="F44">
        <v>-0.57735026918962495</v>
      </c>
      <c r="G44">
        <v>0.86113631159405202</v>
      </c>
      <c r="H44">
        <v>1</v>
      </c>
      <c r="I44">
        <v>0.34785484513745302</v>
      </c>
      <c r="J44">
        <v>1</v>
      </c>
      <c r="K44">
        <f t="shared" si="0"/>
        <v>0.24718524904860206</v>
      </c>
      <c r="L44">
        <f t="shared" si="1"/>
        <v>1</v>
      </c>
      <c r="M44">
        <f t="shared" si="2"/>
        <v>1</v>
      </c>
      <c r="N44">
        <f t="shared" si="3"/>
        <v>8.5984586528064233E-2</v>
      </c>
    </row>
    <row r="45" spans="1:14">
      <c r="D45">
        <v>1</v>
      </c>
      <c r="E45">
        <v>3</v>
      </c>
      <c r="F45">
        <v>0.57735026918962495</v>
      </c>
      <c r="G45">
        <f>-G48</f>
        <v>-0.86113631159405202</v>
      </c>
      <c r="H45">
        <v>1</v>
      </c>
      <c r="I45">
        <v>0.34785484513745302</v>
      </c>
      <c r="J45">
        <v>1</v>
      </c>
      <c r="K45">
        <f t="shared" si="0"/>
        <v>0.24718524904860206</v>
      </c>
      <c r="L45">
        <f t="shared" si="1"/>
        <v>1</v>
      </c>
      <c r="M45">
        <f t="shared" si="2"/>
        <v>1</v>
      </c>
      <c r="N45">
        <f t="shared" si="3"/>
        <v>8.5984586528064233E-2</v>
      </c>
    </row>
    <row r="46" spans="1:14">
      <c r="D46">
        <v>1</v>
      </c>
      <c r="E46">
        <v>3</v>
      </c>
      <c r="F46">
        <v>0.57735026918962495</v>
      </c>
      <c r="G46">
        <f>-G47</f>
        <v>-0.33998104358485598</v>
      </c>
      <c r="H46">
        <v>1</v>
      </c>
      <c r="I46">
        <v>0.65214515486254598</v>
      </c>
      <c r="J46">
        <v>1</v>
      </c>
      <c r="K46">
        <f t="shared" si="0"/>
        <v>3.852903666568247E-2</v>
      </c>
      <c r="L46">
        <f t="shared" si="1"/>
        <v>1</v>
      </c>
      <c r="M46">
        <f t="shared" si="2"/>
        <v>1</v>
      </c>
      <c r="N46">
        <f t="shared" si="3"/>
        <v>2.5126524583046206E-2</v>
      </c>
    </row>
    <row r="47" spans="1:14">
      <c r="D47">
        <v>1</v>
      </c>
      <c r="E47">
        <v>3</v>
      </c>
      <c r="F47">
        <v>0.57735026918962495</v>
      </c>
      <c r="G47">
        <v>0.33998104358485598</v>
      </c>
      <c r="H47">
        <v>1</v>
      </c>
      <c r="I47">
        <v>0.65214515486254598</v>
      </c>
      <c r="J47">
        <v>1</v>
      </c>
      <c r="K47">
        <f t="shared" si="0"/>
        <v>3.852903666568247E-2</v>
      </c>
      <c r="L47">
        <f t="shared" si="1"/>
        <v>1</v>
      </c>
      <c r="M47">
        <f t="shared" si="2"/>
        <v>1</v>
      </c>
      <c r="N47">
        <f t="shared" si="3"/>
        <v>2.5126524583046206E-2</v>
      </c>
    </row>
    <row r="48" spans="1:14">
      <c r="D48">
        <v>1</v>
      </c>
      <c r="E48">
        <v>3</v>
      </c>
      <c r="F48">
        <v>0.57735026918962495</v>
      </c>
      <c r="G48">
        <v>0.86113631159405202</v>
      </c>
      <c r="H48">
        <v>1</v>
      </c>
      <c r="I48">
        <v>0.34785484513745302</v>
      </c>
      <c r="J48">
        <v>1</v>
      </c>
      <c r="K48">
        <f t="shared" si="0"/>
        <v>0.24718524904860206</v>
      </c>
      <c r="L48">
        <f t="shared" si="1"/>
        <v>1</v>
      </c>
      <c r="M48">
        <f t="shared" si="2"/>
        <v>1</v>
      </c>
      <c r="N48">
        <f t="shared" si="3"/>
        <v>8.5984586528064233E-2</v>
      </c>
    </row>
    <row r="49" spans="4:14">
      <c r="D49">
        <v>3</v>
      </c>
      <c r="E49">
        <v>1</v>
      </c>
      <c r="F49">
        <f>-F52</f>
        <v>-0.86113631159405202</v>
      </c>
      <c r="G49">
        <v>-0.57735026918962495</v>
      </c>
      <c r="H49">
        <v>0.34785484513745302</v>
      </c>
      <c r="I49">
        <v>1</v>
      </c>
      <c r="J49">
        <v>1</v>
      </c>
      <c r="K49">
        <f t="shared" si="0"/>
        <v>0.24718524904860206</v>
      </c>
      <c r="L49">
        <f t="shared" si="1"/>
        <v>1</v>
      </c>
      <c r="M49">
        <f t="shared" si="2"/>
        <v>1</v>
      </c>
      <c r="N49">
        <f t="shared" si="3"/>
        <v>8.5984586528064233E-2</v>
      </c>
    </row>
    <row r="50" spans="4:14">
      <c r="D50">
        <v>3</v>
      </c>
      <c r="E50">
        <v>1</v>
      </c>
      <c r="F50">
        <f>-F51</f>
        <v>-0.33998104358485598</v>
      </c>
      <c r="G50">
        <v>-0.57735026918962495</v>
      </c>
      <c r="H50">
        <v>0.65214515486254598</v>
      </c>
      <c r="I50">
        <v>1</v>
      </c>
      <c r="J50">
        <v>1</v>
      </c>
      <c r="K50">
        <f t="shared" si="0"/>
        <v>3.852903666568247E-2</v>
      </c>
      <c r="L50">
        <f t="shared" si="1"/>
        <v>1</v>
      </c>
      <c r="M50">
        <f t="shared" si="2"/>
        <v>1</v>
      </c>
      <c r="N50">
        <f t="shared" si="3"/>
        <v>2.5126524583046206E-2</v>
      </c>
    </row>
    <row r="51" spans="4:14">
      <c r="D51">
        <v>3</v>
      </c>
      <c r="E51">
        <v>1</v>
      </c>
      <c r="F51">
        <v>0.33998104358485598</v>
      </c>
      <c r="G51">
        <v>-0.57735026918962495</v>
      </c>
      <c r="H51">
        <v>0.65214515486254598</v>
      </c>
      <c r="I51">
        <v>1</v>
      </c>
      <c r="J51">
        <v>1</v>
      </c>
      <c r="K51">
        <f t="shared" si="0"/>
        <v>3.852903666568247E-2</v>
      </c>
      <c r="L51">
        <f t="shared" si="1"/>
        <v>1</v>
      </c>
      <c r="M51">
        <f t="shared" si="2"/>
        <v>1</v>
      </c>
      <c r="N51">
        <f t="shared" si="3"/>
        <v>2.5126524583046206E-2</v>
      </c>
    </row>
    <row r="52" spans="4:14">
      <c r="D52">
        <v>3</v>
      </c>
      <c r="E52">
        <v>1</v>
      </c>
      <c r="F52">
        <v>0.86113631159405202</v>
      </c>
      <c r="G52">
        <v>-0.57735026918962495</v>
      </c>
      <c r="H52">
        <v>0.34785484513745302</v>
      </c>
      <c r="I52">
        <v>1</v>
      </c>
      <c r="J52">
        <v>1</v>
      </c>
      <c r="K52">
        <f t="shared" si="0"/>
        <v>0.24718524904860206</v>
      </c>
      <c r="L52">
        <f t="shared" si="1"/>
        <v>1</v>
      </c>
      <c r="M52">
        <f t="shared" si="2"/>
        <v>1</v>
      </c>
      <c r="N52">
        <f t="shared" si="3"/>
        <v>8.5984586528064233E-2</v>
      </c>
    </row>
    <row r="53" spans="4:14">
      <c r="D53">
        <v>3</v>
      </c>
      <c r="E53">
        <v>1</v>
      </c>
      <c r="F53">
        <f>-F56</f>
        <v>-0.86113631159405202</v>
      </c>
      <c r="G53">
        <v>0.57735026918962495</v>
      </c>
      <c r="H53">
        <v>0.34785484513745302</v>
      </c>
      <c r="I53">
        <v>1</v>
      </c>
      <c r="J53">
        <v>1</v>
      </c>
      <c r="K53">
        <f t="shared" si="0"/>
        <v>0.24718524904860206</v>
      </c>
      <c r="L53">
        <f t="shared" si="1"/>
        <v>1</v>
      </c>
      <c r="M53">
        <f t="shared" si="2"/>
        <v>1</v>
      </c>
      <c r="N53">
        <f t="shared" si="3"/>
        <v>8.5984586528064233E-2</v>
      </c>
    </row>
    <row r="54" spans="4:14">
      <c r="D54">
        <v>3</v>
      </c>
      <c r="E54">
        <v>1</v>
      </c>
      <c r="F54">
        <f>-F55</f>
        <v>-0.33998104358485598</v>
      </c>
      <c r="G54">
        <v>0.57735026918962495</v>
      </c>
      <c r="H54">
        <v>0.65214515486254598</v>
      </c>
      <c r="I54">
        <v>1</v>
      </c>
      <c r="J54">
        <v>1</v>
      </c>
      <c r="K54">
        <f t="shared" si="0"/>
        <v>3.852903666568247E-2</v>
      </c>
      <c r="L54">
        <f t="shared" si="1"/>
        <v>1</v>
      </c>
      <c r="M54">
        <f t="shared" si="2"/>
        <v>1</v>
      </c>
      <c r="N54">
        <f t="shared" si="3"/>
        <v>2.5126524583046206E-2</v>
      </c>
    </row>
    <row r="55" spans="4:14">
      <c r="D55">
        <v>3</v>
      </c>
      <c r="E55">
        <v>1</v>
      </c>
      <c r="F55">
        <v>0.33998104358485598</v>
      </c>
      <c r="G55">
        <v>0.57735026918962495</v>
      </c>
      <c r="H55">
        <v>0.65214515486254598</v>
      </c>
      <c r="I55">
        <v>1</v>
      </c>
      <c r="J55">
        <v>1</v>
      </c>
      <c r="K55">
        <f t="shared" si="0"/>
        <v>3.852903666568247E-2</v>
      </c>
      <c r="L55">
        <f t="shared" si="1"/>
        <v>1</v>
      </c>
      <c r="M55">
        <f t="shared" si="2"/>
        <v>1</v>
      </c>
      <c r="N55">
        <f t="shared" si="3"/>
        <v>2.5126524583046206E-2</v>
      </c>
    </row>
    <row r="56" spans="4:14">
      <c r="D56">
        <v>3</v>
      </c>
      <c r="E56">
        <v>1</v>
      </c>
      <c r="F56">
        <v>0.86113631159405202</v>
      </c>
      <c r="G56">
        <v>0.57735026918962495</v>
      </c>
      <c r="H56">
        <v>0.34785484513745302</v>
      </c>
      <c r="I56">
        <v>1</v>
      </c>
      <c r="J56">
        <v>1</v>
      </c>
      <c r="K56">
        <f t="shared" si="0"/>
        <v>0.24718524904860206</v>
      </c>
      <c r="L56">
        <f t="shared" si="1"/>
        <v>1</v>
      </c>
      <c r="M56">
        <f t="shared" si="2"/>
        <v>1</v>
      </c>
      <c r="N56">
        <f t="shared" si="3"/>
        <v>8.5984586528064233E-2</v>
      </c>
    </row>
    <row r="57" spans="4:14">
      <c r="D57">
        <v>2</v>
      </c>
      <c r="E57">
        <v>2</v>
      </c>
      <c r="F57">
        <v>-0.77459666924148296</v>
      </c>
      <c r="G57">
        <v>-0.77459666924148296</v>
      </c>
      <c r="H57">
        <f>5/9</f>
        <v>0.55555555555555558</v>
      </c>
      <c r="I57">
        <f>5/9</f>
        <v>0.55555555555555558</v>
      </c>
      <c r="J57">
        <v>1</v>
      </c>
      <c r="K57">
        <f t="shared" si="0"/>
        <v>0.35999999999999915</v>
      </c>
      <c r="L57">
        <f t="shared" si="1"/>
        <v>1</v>
      </c>
      <c r="M57">
        <f t="shared" si="2"/>
        <v>1</v>
      </c>
      <c r="N57">
        <f t="shared" si="3"/>
        <v>0.11111111111111087</v>
      </c>
    </row>
    <row r="58" spans="4:14">
      <c r="D58">
        <v>2</v>
      </c>
      <c r="E58">
        <v>2</v>
      </c>
      <c r="F58">
        <v>-0.77459666924148296</v>
      </c>
      <c r="G58">
        <v>0</v>
      </c>
      <c r="H58">
        <f>8/9</f>
        <v>0.88888888888888884</v>
      </c>
      <c r="I58">
        <f>8/9</f>
        <v>0.88888888888888884</v>
      </c>
      <c r="J58">
        <v>1</v>
      </c>
      <c r="K58">
        <f t="shared" si="0"/>
        <v>0</v>
      </c>
      <c r="L58">
        <f t="shared" si="1"/>
        <v>1</v>
      </c>
      <c r="M58">
        <f t="shared" si="2"/>
        <v>1</v>
      </c>
      <c r="N58">
        <f t="shared" si="3"/>
        <v>0</v>
      </c>
    </row>
    <row r="59" spans="4:14">
      <c r="D59">
        <v>2</v>
      </c>
      <c r="E59">
        <v>2</v>
      </c>
      <c r="F59">
        <v>-0.77459666924148296</v>
      </c>
      <c r="G59">
        <v>0.77459666924148296</v>
      </c>
      <c r="H59">
        <f>H57</f>
        <v>0.55555555555555558</v>
      </c>
      <c r="I59">
        <f>I57</f>
        <v>0.55555555555555558</v>
      </c>
      <c r="J59">
        <v>1</v>
      </c>
      <c r="K59">
        <f t="shared" si="0"/>
        <v>0.35999999999999915</v>
      </c>
      <c r="L59">
        <f t="shared" si="1"/>
        <v>1</v>
      </c>
      <c r="M59">
        <f t="shared" si="2"/>
        <v>1</v>
      </c>
      <c r="N59">
        <f t="shared" si="3"/>
        <v>0.11111111111111087</v>
      </c>
    </row>
    <row r="60" spans="4:14">
      <c r="D60">
        <v>2</v>
      </c>
      <c r="E60">
        <v>2</v>
      </c>
      <c r="F60">
        <v>0</v>
      </c>
      <c r="G60">
        <v>-0.77459666924148296</v>
      </c>
      <c r="H60">
        <f>5/9</f>
        <v>0.55555555555555558</v>
      </c>
      <c r="I60">
        <f>5/9</f>
        <v>0.55555555555555558</v>
      </c>
      <c r="J60">
        <v>1</v>
      </c>
      <c r="K60">
        <f t="shared" si="0"/>
        <v>0</v>
      </c>
      <c r="L60">
        <f t="shared" si="1"/>
        <v>1</v>
      </c>
      <c r="M60">
        <f t="shared" si="2"/>
        <v>1</v>
      </c>
      <c r="N60">
        <f t="shared" si="3"/>
        <v>0</v>
      </c>
    </row>
    <row r="61" spans="4:14">
      <c r="D61">
        <v>2</v>
      </c>
      <c r="E61">
        <v>2</v>
      </c>
      <c r="F61">
        <v>0</v>
      </c>
      <c r="G61">
        <v>0</v>
      </c>
      <c r="H61">
        <f>8/9</f>
        <v>0.88888888888888884</v>
      </c>
      <c r="I61">
        <f>8/9</f>
        <v>0.88888888888888884</v>
      </c>
      <c r="J61">
        <v>1</v>
      </c>
      <c r="K61">
        <f t="shared" si="0"/>
        <v>0</v>
      </c>
      <c r="L61">
        <f t="shared" si="1"/>
        <v>1</v>
      </c>
      <c r="M61">
        <f t="shared" si="2"/>
        <v>1</v>
      </c>
      <c r="N61">
        <f t="shared" si="3"/>
        <v>0</v>
      </c>
    </row>
    <row r="62" spans="4:14">
      <c r="D62">
        <v>2</v>
      </c>
      <c r="E62">
        <v>2</v>
      </c>
      <c r="F62">
        <v>0</v>
      </c>
      <c r="G62">
        <v>0.77459666924148296</v>
      </c>
      <c r="H62">
        <f>H60</f>
        <v>0.55555555555555558</v>
      </c>
      <c r="I62">
        <f>I60</f>
        <v>0.55555555555555558</v>
      </c>
      <c r="J62">
        <v>1</v>
      </c>
      <c r="K62">
        <f t="shared" si="0"/>
        <v>0</v>
      </c>
      <c r="L62">
        <f t="shared" si="1"/>
        <v>1</v>
      </c>
      <c r="M62">
        <f t="shared" si="2"/>
        <v>1</v>
      </c>
      <c r="N62">
        <f t="shared" si="3"/>
        <v>0</v>
      </c>
    </row>
    <row r="63" spans="4:14">
      <c r="D63">
        <v>2</v>
      </c>
      <c r="E63">
        <v>2</v>
      </c>
      <c r="F63">
        <v>0.77459666924148296</v>
      </c>
      <c r="G63">
        <v>-0.77459666924148296</v>
      </c>
      <c r="H63">
        <f>5/9</f>
        <v>0.55555555555555558</v>
      </c>
      <c r="I63">
        <f>5/9</f>
        <v>0.55555555555555558</v>
      </c>
      <c r="J63">
        <v>1</v>
      </c>
      <c r="K63">
        <f t="shared" si="0"/>
        <v>0.35999999999999915</v>
      </c>
      <c r="L63">
        <f t="shared" si="1"/>
        <v>1</v>
      </c>
      <c r="M63">
        <f t="shared" si="2"/>
        <v>1</v>
      </c>
      <c r="N63">
        <f t="shared" si="3"/>
        <v>0.11111111111111087</v>
      </c>
    </row>
    <row r="64" spans="4:14">
      <c r="D64">
        <v>2</v>
      </c>
      <c r="E64">
        <v>2</v>
      </c>
      <c r="F64">
        <v>0.77459666924148296</v>
      </c>
      <c r="G64">
        <v>0</v>
      </c>
      <c r="H64">
        <f>8/9</f>
        <v>0.88888888888888884</v>
      </c>
      <c r="I64">
        <f>8/9</f>
        <v>0.88888888888888884</v>
      </c>
      <c r="J64">
        <v>1</v>
      </c>
      <c r="K64">
        <f t="shared" si="0"/>
        <v>0</v>
      </c>
      <c r="L64">
        <f t="shared" si="1"/>
        <v>1</v>
      </c>
      <c r="M64">
        <f t="shared" si="2"/>
        <v>1</v>
      </c>
      <c r="N64">
        <f t="shared" si="3"/>
        <v>0</v>
      </c>
    </row>
    <row r="65" spans="4:15">
      <c r="D65">
        <v>2</v>
      </c>
      <c r="E65">
        <v>2</v>
      </c>
      <c r="F65">
        <v>0.77459666924148296</v>
      </c>
      <c r="G65">
        <v>0.77459666924148296</v>
      </c>
      <c r="H65">
        <f>H63</f>
        <v>0.55555555555555558</v>
      </c>
      <c r="I65">
        <f>I63</f>
        <v>0.55555555555555558</v>
      </c>
      <c r="J65">
        <v>1</v>
      </c>
      <c r="K65">
        <f t="shared" si="0"/>
        <v>0.35999999999999915</v>
      </c>
      <c r="L65">
        <f t="shared" si="1"/>
        <v>1</v>
      </c>
      <c r="M65">
        <f t="shared" si="2"/>
        <v>1</v>
      </c>
      <c r="N65">
        <f t="shared" si="3"/>
        <v>0.11111111111111087</v>
      </c>
    </row>
    <row r="66" spans="4:15">
      <c r="N66">
        <f>SUM(N2:N65)</f>
        <v>0.44444444444444131</v>
      </c>
      <c r="O66" t="s">
        <v>21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Q66"/>
  <sheetViews>
    <sheetView tabSelected="1" zoomScale="190" zoomScaleNormal="190" zoomScalePageLayoutView="190" workbookViewId="0">
      <pane ySplit="1" topLeftCell="A14" activePane="bottomLeft" state="frozen"/>
      <selection pane="bottomLeft" activeCell="D18" sqref="D18"/>
    </sheetView>
  </sheetViews>
  <sheetFormatPr baseColWidth="10" defaultColWidth="8.83203125" defaultRowHeight="14" x14ac:dyDescent="0"/>
  <sheetData>
    <row r="1" spans="1:17">
      <c r="A1" t="s">
        <v>13</v>
      </c>
      <c r="B1">
        <v>1</v>
      </c>
      <c r="D1" t="s">
        <v>17</v>
      </c>
      <c r="E1" t="s">
        <v>18</v>
      </c>
      <c r="F1" t="s">
        <v>9</v>
      </c>
      <c r="H1" t="s">
        <v>10</v>
      </c>
      <c r="J1" t="s">
        <v>16</v>
      </c>
      <c r="K1" t="s">
        <v>11</v>
      </c>
      <c r="L1" t="s">
        <v>19</v>
      </c>
      <c r="M1" t="s">
        <v>20</v>
      </c>
      <c r="N1" t="s">
        <v>12</v>
      </c>
      <c r="O1" t="s">
        <v>22</v>
      </c>
    </row>
    <row r="2" spans="1:17">
      <c r="A2" t="s">
        <v>14</v>
      </c>
      <c r="B2" t="s">
        <v>15</v>
      </c>
      <c r="C2" t="s">
        <v>24</v>
      </c>
      <c r="F2" t="s">
        <v>2</v>
      </c>
      <c r="G2" t="s">
        <v>3</v>
      </c>
      <c r="H2" t="s">
        <v>2</v>
      </c>
      <c r="I2" t="s">
        <v>3</v>
      </c>
      <c r="O2">
        <f>N66</f>
        <v>0</v>
      </c>
    </row>
    <row r="3" spans="1:17">
      <c r="A3">
        <v>0</v>
      </c>
      <c r="B3">
        <v>2</v>
      </c>
      <c r="J3">
        <v>-1</v>
      </c>
      <c r="K3">
        <f>F3^2*G3^2</f>
        <v>0</v>
      </c>
      <c r="L3">
        <f>Legendre(6,F3)</f>
        <v>-1.1267347735824966</v>
      </c>
      <c r="M3">
        <f>Legendre(0,G3)</f>
        <v>1</v>
      </c>
      <c r="N3">
        <f>PRODUCT(H3:M3)</f>
        <v>0</v>
      </c>
    </row>
    <row r="4" spans="1:17">
      <c r="J4">
        <v>-1</v>
      </c>
      <c r="K4">
        <f t="shared" ref="K4:K65" si="0">F4^2*G4^2</f>
        <v>0</v>
      </c>
      <c r="L4">
        <f t="shared" ref="L4:L65" si="1">Legendre(6,F4)</f>
        <v>-1.1267347735824966</v>
      </c>
      <c r="M4">
        <f t="shared" ref="M4:M65" si="2">Legendre(0,G4)</f>
        <v>1</v>
      </c>
      <c r="N4">
        <f t="shared" ref="N4:N65" si="3">PRODUCT(H4:M4)</f>
        <v>0</v>
      </c>
    </row>
    <row r="5" spans="1:17">
      <c r="A5" t="s">
        <v>13</v>
      </c>
      <c r="B5">
        <v>2</v>
      </c>
      <c r="J5">
        <v>-1</v>
      </c>
      <c r="K5">
        <f t="shared" si="0"/>
        <v>0</v>
      </c>
      <c r="L5">
        <f t="shared" si="1"/>
        <v>-1.1267347735824966</v>
      </c>
      <c r="M5">
        <f t="shared" si="2"/>
        <v>1</v>
      </c>
      <c r="N5">
        <f t="shared" si="3"/>
        <v>0</v>
      </c>
      <c r="Q5" t="s">
        <v>23</v>
      </c>
    </row>
    <row r="6" spans="1:17">
      <c r="A6" t="s">
        <v>14</v>
      </c>
      <c r="B6" t="s">
        <v>15</v>
      </c>
      <c r="J6">
        <v>-1</v>
      </c>
      <c r="K6">
        <f t="shared" si="0"/>
        <v>0</v>
      </c>
      <c r="L6">
        <f t="shared" si="1"/>
        <v>-1.1267347735824966</v>
      </c>
      <c r="M6">
        <f t="shared" si="2"/>
        <v>1</v>
      </c>
      <c r="N6">
        <f t="shared" si="3"/>
        <v>0</v>
      </c>
    </row>
    <row r="7" spans="1:17">
      <c r="A7">
        <v>-1</v>
      </c>
      <c r="B7">
        <v>6.6666666666999996E-2</v>
      </c>
      <c r="J7">
        <v>-1</v>
      </c>
      <c r="K7">
        <f t="shared" si="0"/>
        <v>0</v>
      </c>
      <c r="L7">
        <f t="shared" si="1"/>
        <v>-1.1267347735824966</v>
      </c>
      <c r="M7">
        <f t="shared" si="2"/>
        <v>1</v>
      </c>
      <c r="N7">
        <f t="shared" si="3"/>
        <v>0</v>
      </c>
    </row>
    <row r="8" spans="1:17">
      <c r="A8">
        <v>-0.70710678118699999</v>
      </c>
      <c r="B8">
        <v>0.53333333333300004</v>
      </c>
      <c r="J8">
        <v>-1</v>
      </c>
      <c r="K8">
        <f t="shared" si="0"/>
        <v>0</v>
      </c>
      <c r="L8">
        <f t="shared" si="1"/>
        <v>-1.1267347735824966</v>
      </c>
      <c r="M8">
        <f t="shared" si="2"/>
        <v>1</v>
      </c>
      <c r="N8">
        <f t="shared" si="3"/>
        <v>0</v>
      </c>
    </row>
    <row r="9" spans="1:17">
      <c r="A9">
        <v>0</v>
      </c>
      <c r="B9">
        <v>0.8</v>
      </c>
      <c r="J9">
        <v>-1</v>
      </c>
      <c r="K9">
        <f t="shared" si="0"/>
        <v>0</v>
      </c>
      <c r="L9">
        <f t="shared" si="1"/>
        <v>-1.1267347735824966</v>
      </c>
      <c r="M9">
        <f t="shared" si="2"/>
        <v>1</v>
      </c>
      <c r="N9">
        <f t="shared" si="3"/>
        <v>0</v>
      </c>
    </row>
    <row r="10" spans="1:17">
      <c r="A10">
        <f>-A8</f>
        <v>0.70710678118699999</v>
      </c>
      <c r="B10">
        <f>B8</f>
        <v>0.53333333333300004</v>
      </c>
      <c r="J10">
        <v>-1</v>
      </c>
      <c r="K10">
        <f t="shared" si="0"/>
        <v>0</v>
      </c>
      <c r="L10">
        <f t="shared" si="1"/>
        <v>-1.1267347735824966</v>
      </c>
      <c r="M10">
        <f t="shared" si="2"/>
        <v>1</v>
      </c>
      <c r="N10">
        <f t="shared" si="3"/>
        <v>0</v>
      </c>
    </row>
    <row r="11" spans="1:17">
      <c r="A11">
        <f>-A7</f>
        <v>1</v>
      </c>
      <c r="B11">
        <f>B7</f>
        <v>6.6666666666999996E-2</v>
      </c>
      <c r="J11">
        <v>1</v>
      </c>
      <c r="K11">
        <f t="shared" si="0"/>
        <v>0</v>
      </c>
      <c r="L11">
        <f t="shared" si="1"/>
        <v>-1.1267347735824966</v>
      </c>
      <c r="M11">
        <f t="shared" si="2"/>
        <v>1</v>
      </c>
      <c r="N11">
        <f t="shared" si="3"/>
        <v>0</v>
      </c>
    </row>
    <row r="12" spans="1:17">
      <c r="J12">
        <v>1</v>
      </c>
      <c r="K12">
        <f t="shared" si="0"/>
        <v>0</v>
      </c>
      <c r="L12">
        <f t="shared" si="1"/>
        <v>-1.1267347735824966</v>
      </c>
      <c r="M12">
        <f t="shared" si="2"/>
        <v>1</v>
      </c>
      <c r="N12">
        <f t="shared" si="3"/>
        <v>0</v>
      </c>
    </row>
    <row r="13" spans="1:17">
      <c r="A13" t="s">
        <v>13</v>
      </c>
      <c r="B13">
        <v>3</v>
      </c>
      <c r="J13">
        <v>1</v>
      </c>
      <c r="K13">
        <f t="shared" si="0"/>
        <v>0</v>
      </c>
      <c r="L13">
        <f t="shared" si="1"/>
        <v>-1.1267347735824966</v>
      </c>
      <c r="M13">
        <f t="shared" si="2"/>
        <v>1</v>
      </c>
      <c r="N13">
        <f t="shared" si="3"/>
        <v>0</v>
      </c>
    </row>
    <row r="14" spans="1:17">
      <c r="A14">
        <v>-1</v>
      </c>
      <c r="B14">
        <v>1.5873015872999999E-2</v>
      </c>
      <c r="J14">
        <v>1</v>
      </c>
      <c r="K14">
        <f t="shared" si="0"/>
        <v>0</v>
      </c>
      <c r="L14">
        <f t="shared" si="1"/>
        <v>-1.1267347735824966</v>
      </c>
      <c r="M14">
        <f t="shared" si="2"/>
        <v>1</v>
      </c>
      <c r="N14">
        <f t="shared" si="3"/>
        <v>0</v>
      </c>
    </row>
    <row r="15" spans="1:17">
      <c r="A15">
        <v>-0.92387953251099997</v>
      </c>
      <c r="B15">
        <v>0.146218649216</v>
      </c>
      <c r="J15">
        <v>1</v>
      </c>
      <c r="K15">
        <f t="shared" si="0"/>
        <v>0</v>
      </c>
      <c r="L15">
        <f t="shared" si="1"/>
        <v>-1.1267347735824966</v>
      </c>
      <c r="M15">
        <f t="shared" si="2"/>
        <v>1</v>
      </c>
      <c r="N15">
        <f t="shared" si="3"/>
        <v>0</v>
      </c>
    </row>
    <row r="16" spans="1:17">
      <c r="A16">
        <v>-0.70710678118699999</v>
      </c>
      <c r="B16">
        <v>0.27936507936499999</v>
      </c>
      <c r="J16">
        <v>1</v>
      </c>
      <c r="K16">
        <f t="shared" si="0"/>
        <v>0</v>
      </c>
      <c r="L16">
        <f t="shared" si="1"/>
        <v>-1.1267347735824966</v>
      </c>
      <c r="M16">
        <f t="shared" si="2"/>
        <v>1</v>
      </c>
      <c r="N16">
        <f t="shared" si="3"/>
        <v>0</v>
      </c>
    </row>
    <row r="17" spans="1:14">
      <c r="A17">
        <v>-0.38268343236500002</v>
      </c>
      <c r="B17">
        <v>0.36177178587199998</v>
      </c>
      <c r="J17">
        <v>1</v>
      </c>
      <c r="K17">
        <f t="shared" si="0"/>
        <v>0</v>
      </c>
      <c r="L17">
        <f t="shared" si="1"/>
        <v>-1.1267347735824966</v>
      </c>
      <c r="M17">
        <f t="shared" si="2"/>
        <v>1</v>
      </c>
      <c r="N17">
        <f t="shared" si="3"/>
        <v>0</v>
      </c>
    </row>
    <row r="18" spans="1:14">
      <c r="A18">
        <v>0</v>
      </c>
      <c r="B18">
        <v>0.39365079365099997</v>
      </c>
      <c r="J18">
        <v>1</v>
      </c>
      <c r="K18">
        <f t="shared" si="0"/>
        <v>0</v>
      </c>
      <c r="L18">
        <f t="shared" si="1"/>
        <v>-1.1267347735824966</v>
      </c>
      <c r="M18">
        <f t="shared" si="2"/>
        <v>1</v>
      </c>
      <c r="N18">
        <f t="shared" si="3"/>
        <v>0</v>
      </c>
    </row>
    <row r="19" spans="1:14">
      <c r="A19">
        <f>-A17</f>
        <v>0.38268343236500002</v>
      </c>
      <c r="B19">
        <f>B17</f>
        <v>0.36177178587199998</v>
      </c>
      <c r="J19">
        <v>1</v>
      </c>
      <c r="K19">
        <f t="shared" si="0"/>
        <v>0</v>
      </c>
      <c r="L19">
        <f t="shared" si="1"/>
        <v>-1.1267347735824966</v>
      </c>
      <c r="M19">
        <f t="shared" si="2"/>
        <v>1</v>
      </c>
      <c r="N19">
        <f t="shared" si="3"/>
        <v>0</v>
      </c>
    </row>
    <row r="20" spans="1:14">
      <c r="A20">
        <f>-A16</f>
        <v>0.70710678118699999</v>
      </c>
      <c r="B20">
        <f>B16</f>
        <v>0.27936507936499999</v>
      </c>
      <c r="J20">
        <v>1</v>
      </c>
      <c r="K20">
        <f t="shared" si="0"/>
        <v>0</v>
      </c>
      <c r="L20">
        <f t="shared" si="1"/>
        <v>-1.1267347735824966</v>
      </c>
      <c r="M20">
        <f t="shared" si="2"/>
        <v>1</v>
      </c>
      <c r="N20">
        <f t="shared" si="3"/>
        <v>0</v>
      </c>
    </row>
    <row r="21" spans="1:14">
      <c r="A21">
        <f>-A15</f>
        <v>0.92387953251099997</v>
      </c>
      <c r="B21">
        <f>B15</f>
        <v>0.146218649216</v>
      </c>
      <c r="J21">
        <v>1</v>
      </c>
      <c r="K21">
        <f t="shared" si="0"/>
        <v>0</v>
      </c>
      <c r="L21">
        <f t="shared" si="1"/>
        <v>-1.1267347735824966</v>
      </c>
      <c r="M21">
        <f t="shared" si="2"/>
        <v>1</v>
      </c>
      <c r="N21">
        <f t="shared" si="3"/>
        <v>0</v>
      </c>
    </row>
    <row r="22" spans="1:14">
      <c r="A22">
        <f>-A14</f>
        <v>1</v>
      </c>
      <c r="B22">
        <f>B14</f>
        <v>1.5873015872999999E-2</v>
      </c>
      <c r="J22">
        <v>1</v>
      </c>
      <c r="K22">
        <f t="shared" si="0"/>
        <v>0</v>
      </c>
      <c r="L22">
        <f t="shared" si="1"/>
        <v>-1.1267347735824966</v>
      </c>
      <c r="M22">
        <f t="shared" si="2"/>
        <v>1</v>
      </c>
      <c r="N22">
        <f t="shared" si="3"/>
        <v>0</v>
      </c>
    </row>
    <row r="23" spans="1:14">
      <c r="J23">
        <v>1</v>
      </c>
      <c r="K23">
        <f t="shared" si="0"/>
        <v>0</v>
      </c>
      <c r="L23">
        <f t="shared" si="1"/>
        <v>-1.1267347735824966</v>
      </c>
      <c r="M23">
        <f t="shared" si="2"/>
        <v>1</v>
      </c>
      <c r="N23">
        <f t="shared" si="3"/>
        <v>0</v>
      </c>
    </row>
    <row r="24" spans="1:14">
      <c r="A24" t="s">
        <v>13</v>
      </c>
      <c r="B24">
        <v>4</v>
      </c>
      <c r="J24">
        <v>1</v>
      </c>
      <c r="K24">
        <f t="shared" si="0"/>
        <v>0</v>
      </c>
      <c r="L24">
        <f t="shared" si="1"/>
        <v>-1.1267347735824966</v>
      </c>
      <c r="M24">
        <f t="shared" si="2"/>
        <v>1</v>
      </c>
      <c r="N24">
        <f t="shared" si="3"/>
        <v>0</v>
      </c>
    </row>
    <row r="25" spans="1:14">
      <c r="A25">
        <v>-1</v>
      </c>
      <c r="B25">
        <v>3.73687028372E-2</v>
      </c>
      <c r="J25">
        <v>1</v>
      </c>
      <c r="K25">
        <f t="shared" si="0"/>
        <v>0</v>
      </c>
      <c r="L25">
        <f t="shared" si="1"/>
        <v>-1.1267347735824966</v>
      </c>
      <c r="M25">
        <f t="shared" si="2"/>
        <v>1</v>
      </c>
      <c r="N25">
        <f t="shared" si="3"/>
        <v>0</v>
      </c>
    </row>
    <row r="26" spans="1:14">
      <c r="A26">
        <v>-0.98078528040299995</v>
      </c>
      <c r="B26">
        <v>3.73687028372E-2</v>
      </c>
      <c r="J26">
        <v>1</v>
      </c>
      <c r="K26">
        <f t="shared" si="0"/>
        <v>0</v>
      </c>
      <c r="L26">
        <f t="shared" si="1"/>
        <v>-1.1267347735824966</v>
      </c>
      <c r="M26">
        <f t="shared" si="2"/>
        <v>1</v>
      </c>
      <c r="N26">
        <f t="shared" si="3"/>
        <v>0</v>
      </c>
    </row>
    <row r="27" spans="1:14">
      <c r="A27">
        <v>-0.92387953251099997</v>
      </c>
      <c r="B27">
        <v>7.5482331543199999E-2</v>
      </c>
      <c r="J27">
        <v>1</v>
      </c>
      <c r="K27">
        <f t="shared" si="0"/>
        <v>0</v>
      </c>
      <c r="L27">
        <f t="shared" si="1"/>
        <v>-1.1267347735824966</v>
      </c>
      <c r="M27">
        <f t="shared" si="2"/>
        <v>1</v>
      </c>
      <c r="N27">
        <f t="shared" si="3"/>
        <v>0</v>
      </c>
    </row>
    <row r="28" spans="1:14">
      <c r="A28">
        <v>-0.83146961230299998</v>
      </c>
      <c r="B28">
        <v>0.10890555258200001</v>
      </c>
      <c r="J28">
        <v>1</v>
      </c>
      <c r="K28">
        <f t="shared" si="0"/>
        <v>0</v>
      </c>
      <c r="L28">
        <f t="shared" si="1"/>
        <v>-1.1267347735824966</v>
      </c>
      <c r="M28">
        <f t="shared" si="2"/>
        <v>1</v>
      </c>
      <c r="N28">
        <f t="shared" si="3"/>
        <v>0</v>
      </c>
    </row>
    <row r="29" spans="1:14">
      <c r="A29">
        <v>-0.70710678118699999</v>
      </c>
      <c r="B29">
        <v>0.13895646836799999</v>
      </c>
      <c r="J29">
        <v>-1</v>
      </c>
      <c r="K29">
        <f t="shared" si="0"/>
        <v>0</v>
      </c>
      <c r="L29">
        <f t="shared" si="1"/>
        <v>-1.1267347735824966</v>
      </c>
      <c r="M29">
        <f t="shared" si="2"/>
        <v>1</v>
      </c>
      <c r="N29">
        <f t="shared" si="3"/>
        <v>0</v>
      </c>
    </row>
    <row r="30" spans="1:14">
      <c r="A30">
        <v>-0.55557023301999997</v>
      </c>
      <c r="B30">
        <v>0.163172664282</v>
      </c>
      <c r="J30">
        <v>-1</v>
      </c>
      <c r="K30">
        <f t="shared" si="0"/>
        <v>0</v>
      </c>
      <c r="L30">
        <f t="shared" si="1"/>
        <v>-1.1267347735824966</v>
      </c>
      <c r="M30">
        <f t="shared" si="2"/>
        <v>1</v>
      </c>
      <c r="N30">
        <f t="shared" si="3"/>
        <v>0</v>
      </c>
    </row>
    <row r="31" spans="1:14">
      <c r="A31">
        <v>-0.38268343236500002</v>
      </c>
      <c r="B31">
        <v>0.181473784236</v>
      </c>
      <c r="J31">
        <v>-1</v>
      </c>
      <c r="K31">
        <f t="shared" si="0"/>
        <v>0</v>
      </c>
      <c r="L31">
        <f t="shared" si="1"/>
        <v>-1.1267347735824966</v>
      </c>
      <c r="M31">
        <f t="shared" si="2"/>
        <v>1</v>
      </c>
      <c r="N31">
        <f t="shared" si="3"/>
        <v>0</v>
      </c>
    </row>
    <row r="32" spans="1:14">
      <c r="A32">
        <v>-0.19509032201599999</v>
      </c>
      <c r="B32">
        <v>0.19251386461299999</v>
      </c>
      <c r="J32">
        <v>-1</v>
      </c>
      <c r="K32">
        <f t="shared" si="0"/>
        <v>0</v>
      </c>
      <c r="L32">
        <f t="shared" si="1"/>
        <v>-1.1267347735824966</v>
      </c>
      <c r="M32">
        <f t="shared" si="2"/>
        <v>1</v>
      </c>
      <c r="N32">
        <f t="shared" si="3"/>
        <v>0</v>
      </c>
    </row>
    <row r="33" spans="1:14">
      <c r="A33">
        <v>0</v>
      </c>
      <c r="B33">
        <v>0.19641012582199999</v>
      </c>
      <c r="J33">
        <v>-1</v>
      </c>
      <c r="K33">
        <f t="shared" si="0"/>
        <v>0</v>
      </c>
      <c r="L33">
        <f t="shared" si="1"/>
        <v>-1.1267347735824966</v>
      </c>
      <c r="M33">
        <f t="shared" si="2"/>
        <v>1</v>
      </c>
      <c r="N33">
        <f t="shared" si="3"/>
        <v>0</v>
      </c>
    </row>
    <row r="34" spans="1:14">
      <c r="A34">
        <f>-A32</f>
        <v>0.19509032201599999</v>
      </c>
      <c r="B34">
        <f>B32</f>
        <v>0.19251386461299999</v>
      </c>
      <c r="J34">
        <v>-1</v>
      </c>
      <c r="K34">
        <f t="shared" si="0"/>
        <v>0</v>
      </c>
      <c r="L34">
        <f t="shared" si="1"/>
        <v>-1.1267347735824966</v>
      </c>
      <c r="M34">
        <f t="shared" si="2"/>
        <v>1</v>
      </c>
      <c r="N34">
        <f t="shared" si="3"/>
        <v>0</v>
      </c>
    </row>
    <row r="35" spans="1:14">
      <c r="A35">
        <f>-A31</f>
        <v>0.38268343236500002</v>
      </c>
      <c r="B35">
        <f>B31</f>
        <v>0.181473784236</v>
      </c>
      <c r="J35">
        <v>-1</v>
      </c>
      <c r="K35">
        <f t="shared" si="0"/>
        <v>0</v>
      </c>
      <c r="L35">
        <f t="shared" si="1"/>
        <v>-1.1267347735824966</v>
      </c>
      <c r="M35">
        <f t="shared" si="2"/>
        <v>1</v>
      </c>
      <c r="N35">
        <f t="shared" si="3"/>
        <v>0</v>
      </c>
    </row>
    <row r="36" spans="1:14">
      <c r="A36">
        <f>-A30</f>
        <v>0.55557023301999997</v>
      </c>
      <c r="B36">
        <f>B30</f>
        <v>0.163172664282</v>
      </c>
      <c r="J36">
        <v>-1</v>
      </c>
      <c r="K36">
        <f t="shared" si="0"/>
        <v>0</v>
      </c>
      <c r="L36">
        <f t="shared" si="1"/>
        <v>-1.1267347735824966</v>
      </c>
      <c r="M36">
        <f t="shared" si="2"/>
        <v>1</v>
      </c>
      <c r="N36">
        <f t="shared" si="3"/>
        <v>0</v>
      </c>
    </row>
    <row r="37" spans="1:14">
      <c r="A37">
        <f>-A29</f>
        <v>0.70710678118699999</v>
      </c>
      <c r="B37">
        <f>B29</f>
        <v>0.13895646836799999</v>
      </c>
      <c r="J37">
        <v>-1</v>
      </c>
      <c r="K37">
        <f t="shared" si="0"/>
        <v>0</v>
      </c>
      <c r="L37">
        <f t="shared" si="1"/>
        <v>-1.1267347735824966</v>
      </c>
      <c r="M37">
        <f t="shared" si="2"/>
        <v>1</v>
      </c>
      <c r="N37">
        <f t="shared" si="3"/>
        <v>0</v>
      </c>
    </row>
    <row r="38" spans="1:14">
      <c r="A38">
        <f>-A28</f>
        <v>0.83146961230299998</v>
      </c>
      <c r="B38">
        <f>B28</f>
        <v>0.10890555258200001</v>
      </c>
      <c r="J38">
        <v>-1</v>
      </c>
      <c r="K38">
        <f t="shared" si="0"/>
        <v>0</v>
      </c>
      <c r="L38">
        <f t="shared" si="1"/>
        <v>-1.1267347735824966</v>
      </c>
      <c r="M38">
        <f t="shared" si="2"/>
        <v>1</v>
      </c>
      <c r="N38">
        <f t="shared" si="3"/>
        <v>0</v>
      </c>
    </row>
    <row r="39" spans="1:14">
      <c r="A39">
        <f>-A27</f>
        <v>0.92387953251099997</v>
      </c>
      <c r="B39">
        <f>B27</f>
        <v>7.5482331543199999E-2</v>
      </c>
      <c r="J39">
        <v>-1</v>
      </c>
      <c r="K39">
        <f t="shared" si="0"/>
        <v>0</v>
      </c>
      <c r="L39">
        <f t="shared" si="1"/>
        <v>-1.1267347735824966</v>
      </c>
      <c r="M39">
        <f t="shared" si="2"/>
        <v>1</v>
      </c>
      <c r="N39">
        <f t="shared" si="3"/>
        <v>0</v>
      </c>
    </row>
    <row r="40" spans="1:14">
      <c r="A40">
        <f>-A26</f>
        <v>0.98078528040299995</v>
      </c>
      <c r="B40">
        <f>B26</f>
        <v>3.73687028372E-2</v>
      </c>
      <c r="J40">
        <v>-1</v>
      </c>
      <c r="K40">
        <f t="shared" si="0"/>
        <v>0</v>
      </c>
      <c r="L40">
        <f t="shared" si="1"/>
        <v>-1.1267347735824966</v>
      </c>
      <c r="M40">
        <f t="shared" si="2"/>
        <v>1</v>
      </c>
      <c r="N40">
        <f t="shared" si="3"/>
        <v>0</v>
      </c>
    </row>
    <row r="41" spans="1:14">
      <c r="A41">
        <f>-A25</f>
        <v>1</v>
      </c>
      <c r="B41">
        <f>B25</f>
        <v>3.73687028372E-2</v>
      </c>
      <c r="J41">
        <v>1</v>
      </c>
      <c r="K41">
        <f t="shared" si="0"/>
        <v>0</v>
      </c>
      <c r="L41">
        <f t="shared" si="1"/>
        <v>-1.1267347735824966</v>
      </c>
      <c r="M41">
        <f t="shared" si="2"/>
        <v>1</v>
      </c>
      <c r="N41">
        <f t="shared" si="3"/>
        <v>0</v>
      </c>
    </row>
    <row r="42" spans="1:14">
      <c r="J42">
        <v>1</v>
      </c>
      <c r="K42">
        <f t="shared" si="0"/>
        <v>0</v>
      </c>
      <c r="L42">
        <f t="shared" si="1"/>
        <v>-1.1267347735824966</v>
      </c>
      <c r="M42">
        <f t="shared" si="2"/>
        <v>1</v>
      </c>
      <c r="N42">
        <f t="shared" si="3"/>
        <v>0</v>
      </c>
    </row>
    <row r="43" spans="1:14">
      <c r="A43" t="s">
        <v>13</v>
      </c>
      <c r="B43">
        <v>9</v>
      </c>
      <c r="J43">
        <v>1</v>
      </c>
      <c r="K43">
        <f t="shared" si="0"/>
        <v>0</v>
      </c>
      <c r="L43">
        <f t="shared" si="1"/>
        <v>-1.1267347735824966</v>
      </c>
      <c r="M43">
        <f t="shared" si="2"/>
        <v>1</v>
      </c>
      <c r="N43">
        <f t="shared" si="3"/>
        <v>0</v>
      </c>
    </row>
    <row r="44" spans="1:14">
      <c r="J44">
        <v>1</v>
      </c>
      <c r="K44">
        <f t="shared" si="0"/>
        <v>0</v>
      </c>
      <c r="L44">
        <f t="shared" si="1"/>
        <v>-1.1267347735824966</v>
      </c>
      <c r="M44">
        <f t="shared" si="2"/>
        <v>1</v>
      </c>
      <c r="N44">
        <f t="shared" si="3"/>
        <v>0</v>
      </c>
    </row>
    <row r="45" spans="1:14">
      <c r="J45">
        <v>1</v>
      </c>
      <c r="K45">
        <f t="shared" si="0"/>
        <v>0</v>
      </c>
      <c r="L45">
        <f t="shared" si="1"/>
        <v>-1.1267347735824966</v>
      </c>
      <c r="M45">
        <f t="shared" si="2"/>
        <v>1</v>
      </c>
      <c r="N45">
        <f t="shared" si="3"/>
        <v>0</v>
      </c>
    </row>
    <row r="46" spans="1:14">
      <c r="J46">
        <v>1</v>
      </c>
      <c r="K46">
        <f t="shared" si="0"/>
        <v>0</v>
      </c>
      <c r="L46">
        <f t="shared" si="1"/>
        <v>-1.1267347735824966</v>
      </c>
      <c r="M46">
        <f t="shared" si="2"/>
        <v>1</v>
      </c>
      <c r="N46">
        <f t="shared" si="3"/>
        <v>0</v>
      </c>
    </row>
    <row r="47" spans="1:14">
      <c r="J47">
        <v>1</v>
      </c>
      <c r="K47">
        <f t="shared" si="0"/>
        <v>0</v>
      </c>
      <c r="L47">
        <f t="shared" si="1"/>
        <v>-1.1267347735824966</v>
      </c>
      <c r="M47">
        <f t="shared" si="2"/>
        <v>1</v>
      </c>
      <c r="N47">
        <f t="shared" si="3"/>
        <v>0</v>
      </c>
    </row>
    <row r="48" spans="1:14">
      <c r="J48">
        <v>1</v>
      </c>
      <c r="K48">
        <f t="shared" si="0"/>
        <v>0</v>
      </c>
      <c r="L48">
        <f t="shared" si="1"/>
        <v>-1.1267347735824966</v>
      </c>
      <c r="M48">
        <f t="shared" si="2"/>
        <v>1</v>
      </c>
      <c r="N48">
        <f t="shared" si="3"/>
        <v>0</v>
      </c>
    </row>
    <row r="49" spans="10:14">
      <c r="J49">
        <v>1</v>
      </c>
      <c r="K49">
        <f t="shared" si="0"/>
        <v>0</v>
      </c>
      <c r="L49">
        <f t="shared" si="1"/>
        <v>-1.1267347735824966</v>
      </c>
      <c r="M49">
        <f t="shared" si="2"/>
        <v>1</v>
      </c>
      <c r="N49">
        <f t="shared" si="3"/>
        <v>0</v>
      </c>
    </row>
    <row r="50" spans="10:14">
      <c r="J50">
        <v>1</v>
      </c>
      <c r="K50">
        <f t="shared" si="0"/>
        <v>0</v>
      </c>
      <c r="L50">
        <f t="shared" si="1"/>
        <v>-1.1267347735824966</v>
      </c>
      <c r="M50">
        <f t="shared" si="2"/>
        <v>1</v>
      </c>
      <c r="N50">
        <f t="shared" si="3"/>
        <v>0</v>
      </c>
    </row>
    <row r="51" spans="10:14">
      <c r="J51">
        <v>1</v>
      </c>
      <c r="K51">
        <f t="shared" si="0"/>
        <v>0</v>
      </c>
      <c r="L51">
        <f t="shared" si="1"/>
        <v>-1.1267347735824966</v>
      </c>
      <c r="M51">
        <f t="shared" si="2"/>
        <v>1</v>
      </c>
      <c r="N51">
        <f t="shared" si="3"/>
        <v>0</v>
      </c>
    </row>
    <row r="52" spans="10:14">
      <c r="J52">
        <v>1</v>
      </c>
      <c r="K52">
        <f t="shared" si="0"/>
        <v>0</v>
      </c>
      <c r="L52">
        <f t="shared" si="1"/>
        <v>-1.1267347735824966</v>
      </c>
      <c r="M52">
        <f t="shared" si="2"/>
        <v>1</v>
      </c>
      <c r="N52">
        <f t="shared" si="3"/>
        <v>0</v>
      </c>
    </row>
    <row r="53" spans="10:14">
      <c r="J53">
        <v>1</v>
      </c>
      <c r="K53">
        <f t="shared" si="0"/>
        <v>0</v>
      </c>
      <c r="L53">
        <f t="shared" si="1"/>
        <v>-1.1267347735824966</v>
      </c>
      <c r="M53">
        <f t="shared" si="2"/>
        <v>1</v>
      </c>
      <c r="N53">
        <f t="shared" si="3"/>
        <v>0</v>
      </c>
    </row>
    <row r="54" spans="10:14">
      <c r="J54">
        <v>1</v>
      </c>
      <c r="K54">
        <f t="shared" si="0"/>
        <v>0</v>
      </c>
      <c r="L54">
        <f t="shared" si="1"/>
        <v>-1.1267347735824966</v>
      </c>
      <c r="M54">
        <f t="shared" si="2"/>
        <v>1</v>
      </c>
      <c r="N54">
        <f t="shared" si="3"/>
        <v>0</v>
      </c>
    </row>
    <row r="55" spans="10:14">
      <c r="J55">
        <v>1</v>
      </c>
      <c r="K55">
        <f t="shared" si="0"/>
        <v>0</v>
      </c>
      <c r="L55">
        <f t="shared" si="1"/>
        <v>-1.1267347735824966</v>
      </c>
      <c r="M55">
        <f t="shared" si="2"/>
        <v>1</v>
      </c>
      <c r="N55">
        <f t="shared" si="3"/>
        <v>0</v>
      </c>
    </row>
    <row r="56" spans="10:14">
      <c r="J56">
        <v>1</v>
      </c>
      <c r="K56">
        <f t="shared" si="0"/>
        <v>0</v>
      </c>
      <c r="L56">
        <f t="shared" si="1"/>
        <v>-1.1267347735824966</v>
      </c>
      <c r="M56">
        <f t="shared" si="2"/>
        <v>1</v>
      </c>
      <c r="N56">
        <f t="shared" si="3"/>
        <v>0</v>
      </c>
    </row>
    <row r="57" spans="10:14">
      <c r="J57">
        <v>1</v>
      </c>
      <c r="K57">
        <f t="shared" si="0"/>
        <v>0</v>
      </c>
      <c r="L57">
        <f t="shared" si="1"/>
        <v>-1.1267347735824966</v>
      </c>
      <c r="M57">
        <f t="shared" si="2"/>
        <v>1</v>
      </c>
      <c r="N57">
        <f t="shared" si="3"/>
        <v>0</v>
      </c>
    </row>
    <row r="58" spans="10:14">
      <c r="J58">
        <v>1</v>
      </c>
      <c r="K58">
        <f t="shared" si="0"/>
        <v>0</v>
      </c>
      <c r="L58">
        <f t="shared" si="1"/>
        <v>-1.1267347735824966</v>
      </c>
      <c r="M58">
        <f t="shared" si="2"/>
        <v>1</v>
      </c>
      <c r="N58">
        <f t="shared" si="3"/>
        <v>0</v>
      </c>
    </row>
    <row r="59" spans="10:14">
      <c r="J59">
        <v>1</v>
      </c>
      <c r="K59">
        <f t="shared" si="0"/>
        <v>0</v>
      </c>
      <c r="L59">
        <f t="shared" si="1"/>
        <v>-1.1267347735824966</v>
      </c>
      <c r="M59">
        <f t="shared" si="2"/>
        <v>1</v>
      </c>
      <c r="N59">
        <f t="shared" si="3"/>
        <v>0</v>
      </c>
    </row>
    <row r="60" spans="10:14">
      <c r="J60">
        <v>1</v>
      </c>
      <c r="K60">
        <f t="shared" si="0"/>
        <v>0</v>
      </c>
      <c r="L60">
        <f t="shared" si="1"/>
        <v>-1.1267347735824966</v>
      </c>
      <c r="M60">
        <f t="shared" si="2"/>
        <v>1</v>
      </c>
      <c r="N60">
        <f t="shared" si="3"/>
        <v>0</v>
      </c>
    </row>
    <row r="61" spans="10:14">
      <c r="J61">
        <v>1</v>
      </c>
      <c r="K61">
        <f t="shared" si="0"/>
        <v>0</v>
      </c>
      <c r="L61">
        <f t="shared" si="1"/>
        <v>-1.1267347735824966</v>
      </c>
      <c r="M61">
        <f t="shared" si="2"/>
        <v>1</v>
      </c>
      <c r="N61">
        <f t="shared" si="3"/>
        <v>0</v>
      </c>
    </row>
    <row r="62" spans="10:14">
      <c r="J62">
        <v>1</v>
      </c>
      <c r="K62">
        <f t="shared" si="0"/>
        <v>0</v>
      </c>
      <c r="L62">
        <f t="shared" si="1"/>
        <v>-1.1267347735824966</v>
      </c>
      <c r="M62">
        <f t="shared" si="2"/>
        <v>1</v>
      </c>
      <c r="N62">
        <f t="shared" si="3"/>
        <v>0</v>
      </c>
    </row>
    <row r="63" spans="10:14">
      <c r="J63">
        <v>1</v>
      </c>
      <c r="K63">
        <f t="shared" si="0"/>
        <v>0</v>
      </c>
      <c r="L63">
        <f t="shared" si="1"/>
        <v>-1.1267347735824966</v>
      </c>
      <c r="M63">
        <f t="shared" si="2"/>
        <v>1</v>
      </c>
      <c r="N63">
        <f t="shared" si="3"/>
        <v>0</v>
      </c>
    </row>
    <row r="64" spans="10:14">
      <c r="J64">
        <v>1</v>
      </c>
      <c r="K64">
        <f t="shared" si="0"/>
        <v>0</v>
      </c>
      <c r="L64">
        <f t="shared" si="1"/>
        <v>-1.1267347735824966</v>
      </c>
      <c r="M64">
        <f t="shared" si="2"/>
        <v>1</v>
      </c>
      <c r="N64">
        <f t="shared" si="3"/>
        <v>0</v>
      </c>
    </row>
    <row r="65" spans="10:15">
      <c r="J65">
        <v>1</v>
      </c>
      <c r="K65">
        <f t="shared" si="0"/>
        <v>0</v>
      </c>
      <c r="L65">
        <f t="shared" si="1"/>
        <v>-1.1267347735824966</v>
      </c>
      <c r="M65">
        <f t="shared" si="2"/>
        <v>1</v>
      </c>
      <c r="N65">
        <f t="shared" si="3"/>
        <v>0</v>
      </c>
    </row>
    <row r="66" spans="10:15">
      <c r="N66">
        <f>SUM(N2:N65)</f>
        <v>0</v>
      </c>
      <c r="O66" t="s">
        <v>21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</vt:lpstr>
      <vt:lpstr>8TensorQuad</vt:lpstr>
      <vt:lpstr>SG_HC8_60</vt:lpstr>
      <vt:lpstr>SG_HC8_22</vt:lpstr>
      <vt:lpstr>SG_HC8_00</vt:lpstr>
      <vt:lpstr>SG_HC8_60_CC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TaoYiLiang</dc:creator>
  <cp:lastModifiedBy>Paul Talbot</cp:lastModifiedBy>
  <dcterms:created xsi:type="dcterms:W3CDTF">2016-01-27T20:50:34Z</dcterms:created>
  <dcterms:modified xsi:type="dcterms:W3CDTF">2016-03-02T22:20:12Z</dcterms:modified>
</cp:coreProperties>
</file>